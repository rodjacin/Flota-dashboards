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/>
  <mc:AlternateContent xmlns:mc="http://schemas.openxmlformats.org/markup-compatibility/2006">
    <mc:Choice Requires="x15">
      <x15ac:absPath xmlns:x15ac="http://schemas.microsoft.com/office/spreadsheetml/2010/11/ac" url="/Users/rodjacin/Downloads/"/>
    </mc:Choice>
  </mc:AlternateContent>
  <xr:revisionPtr revIDLastSave="0" documentId="13_ncr:1_{B99A0333-0A51-3A47-A0B4-162A32674A36}" xr6:coauthVersionLast="47" xr6:coauthVersionMax="47" xr10:uidLastSave="{00000000-0000-0000-0000-000000000000}"/>
  <bookViews>
    <workbookView xWindow="920" yWindow="600" windowWidth="27880" windowHeight="17400" xr2:uid="{00000000-000D-0000-FFFF-FFFF00000000}"/>
  </bookViews>
  <sheets>
    <sheet name="MushDrink Glovo 1910 AL 2510" sheetId="1" r:id="rId1"/>
    <sheet name="HORAS TOTALES" sheetId="2" r:id="rId2"/>
    <sheet name="Hoja3" sheetId="3" r:id="rId3"/>
  </sheets>
  <definedNames>
    <definedName name="_xlnm._FilterDatabase" localSheetId="0" hidden="1">'MushDrink Glovo 1910 AL 2510'!$A$1:$F$14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2" l="1"/>
  <c r="F33" i="2"/>
  <c r="H33" i="2" s="1"/>
  <c r="F32" i="2"/>
  <c r="H32" i="2" s="1"/>
  <c r="F31" i="2"/>
  <c r="H31" i="2" s="1"/>
  <c r="F30" i="2"/>
  <c r="H30" i="2" s="1"/>
  <c r="F29" i="2"/>
  <c r="H29" i="2" s="1"/>
  <c r="F28" i="2"/>
  <c r="H28" i="2" s="1"/>
  <c r="F27" i="2"/>
  <c r="H27" i="2" s="1"/>
  <c r="F26" i="2"/>
  <c r="H26" i="2" s="1"/>
  <c r="F25" i="2"/>
  <c r="H25" i="2" s="1"/>
  <c r="F24" i="2"/>
  <c r="H24" i="2" s="1"/>
  <c r="F23" i="2"/>
  <c r="H23" i="2" s="1"/>
  <c r="F22" i="2"/>
  <c r="H22" i="2" s="1"/>
  <c r="F21" i="2"/>
  <c r="H21" i="2" s="1"/>
  <c r="H34" i="2" s="1"/>
  <c r="F20" i="2"/>
  <c r="H20" i="2" s="1"/>
  <c r="F19" i="2"/>
  <c r="H19" i="2" s="1"/>
  <c r="F18" i="2"/>
  <c r="H18" i="2" s="1"/>
  <c r="F17" i="2"/>
  <c r="H17" i="2" s="1"/>
  <c r="F16" i="2"/>
  <c r="H16" i="2" s="1"/>
  <c r="F15" i="2"/>
  <c r="H15" i="2" s="1"/>
  <c r="F14" i="2"/>
  <c r="H14" i="2" s="1"/>
  <c r="F13" i="2"/>
  <c r="H13" i="2" s="1"/>
  <c r="F12" i="2"/>
  <c r="H12" i="2" s="1"/>
  <c r="F11" i="2"/>
  <c r="H11" i="2" s="1"/>
  <c r="F10" i="2"/>
  <c r="H10" i="2" s="1"/>
  <c r="F9" i="2"/>
  <c r="H9" i="2" l="1"/>
  <c r="F34" i="2"/>
  <c r="H36" i="2" s="1"/>
</calcChain>
</file>

<file path=xl/sharedStrings.xml><?xml version="1.0" encoding="utf-8"?>
<sst xmlns="http://schemas.openxmlformats.org/spreadsheetml/2006/main" count="364" uniqueCount="40">
  <si>
    <t>codigo_ciudad</t>
  </si>
  <si>
    <t>dia</t>
  </si>
  <si>
    <t>hora_inicio</t>
  </si>
  <si>
    <t>hora_final</t>
  </si>
  <si>
    <t>accion</t>
  </si>
  <si>
    <t>rider_id</t>
  </si>
  <si>
    <t>SAB</t>
  </si>
  <si>
    <t>BOOK</t>
  </si>
  <si>
    <t>CARLOS ROBAINA</t>
  </si>
  <si>
    <t>MAURICIO FULCADO</t>
  </si>
  <si>
    <t>MAFER RAMIREZ</t>
  </si>
  <si>
    <t>JONATHAN VELANDIA</t>
  </si>
  <si>
    <t>GABRIEL CARRILLO</t>
  </si>
  <si>
    <t>EMMANUEL GONZALEZ</t>
  </si>
  <si>
    <t>ALEXANDER MARIN</t>
  </si>
  <si>
    <t>MATHIAS PAEZ</t>
  </si>
  <si>
    <t>ANGEL CARVAJAL</t>
  </si>
  <si>
    <t>MARCO UZCATEGUI</t>
  </si>
  <si>
    <t>HERMA</t>
  </si>
  <si>
    <t>HERMA TAMICHE</t>
  </si>
  <si>
    <t>JEAN FRANCO</t>
  </si>
  <si>
    <t>CESAR OROPEZA</t>
  </si>
  <si>
    <t>NERIOS</t>
  </si>
  <si>
    <t>NERIOS ROSSELL</t>
  </si>
  <si>
    <t>LUIS ESPLUGUEZ</t>
  </si>
  <si>
    <t>FREDDY</t>
  </si>
  <si>
    <t>ROBERT REINOZA</t>
  </si>
  <si>
    <t>FREDERRYC</t>
  </si>
  <si>
    <t>FREDDERYK</t>
  </si>
  <si>
    <t>NORMA</t>
  </si>
  <si>
    <t>LUIS H GIRON</t>
  </si>
  <si>
    <t>ROBERT MONSERRAT</t>
  </si>
  <si>
    <t>GEORLAND</t>
  </si>
  <si>
    <t>JHOSMER</t>
  </si>
  <si>
    <t>DANIEL AZOCAR</t>
  </si>
  <si>
    <t>JESUS MARTINEZ</t>
  </si>
  <si>
    <t>FABIAN RODRIGUEZ</t>
  </si>
  <si>
    <t>JORDY ROJAS</t>
  </si>
  <si>
    <t>ALEXANDER LEDEZMA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</si>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</sst>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1" xfId="0" applyFill="1" applyBorder="1"/>
    <xf numFmtId="0" fontId="0" fillId="6" borderId="0" xfId="0" applyFill="1"/>
    <xf numFmtId="0" fontId="0" fillId="6" borderId="0" xfId="0" applyFill="1" applyAlignment="1">
      <alignment horizontal="right"/>
    </xf>
    <xf numFmtId="0" fontId="1" fillId="2" borderId="1" xfId="0" applyFont="1" applyFill="1" applyBorder="1"/>
    <xf numFmtId="0" fontId="0" fillId="7" borderId="0" xfId="0" applyFill="1"/>
    <xf numFmtId="0" fontId="0" fillId="6" borderId="1" xfId="0" applyFill="1" applyBorder="1"/>
    <xf numFmtId="0" fontId="2" fillId="0" borderId="0" xfId="0" applyFont="1"/>
    <xf numFmtId="0" fontId="0" fillId="3" borderId="0" xfId="0" applyFill="1" applyAlignment="1">
      <alignment horizontal="right"/>
    </xf>
    <xf numFmtId="0" fontId="0" fillId="0" borderId="1" xfId="0" applyBorder="1"/>
    <xf numFmtId="0" fontId="0" fillId="4" borderId="1" xfId="0" applyFill="1" applyBorder="1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0" fontId="0" fillId="2" borderId="0" xfId="0" applyFill="1" applyAlignment="1">
      <alignment horizontal="right"/>
    </xf>
    <xf numFmtId="20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680D"/>
      <color rgb="FF00B050"/>
      <color rgb="FFFFFF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3"/>
  <sheetViews>
    <sheetView tabSelected="1" zoomScale="75" zoomScaleNormal="75" workbookViewId="0">
      <selection activeCell="E11" sqref="E11"/>
    </sheetView>
  </sheetViews>
  <sheetFormatPr baseColWidth="10" defaultColWidth="11" defaultRowHeight="15" x14ac:dyDescent="0.2"/>
  <cols>
    <col min="1" max="5" width="11.5" style="17" customWidth="1"/>
    <col min="6" max="16384" width="11" style="17"/>
  </cols>
  <sheetData>
    <row r="1" spans="1:6" x14ac:dyDescent="0.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2">
      <c r="A2" s="17" t="s">
        <v>6</v>
      </c>
      <c r="B2" s="18">
        <v>46314</v>
      </c>
      <c r="C2" s="19">
        <v>0.5</v>
      </c>
      <c r="D2" s="19">
        <v>0.75</v>
      </c>
      <c r="E2" s="17" t="s">
        <v>7</v>
      </c>
      <c r="F2" s="20">
        <v>4515533</v>
      </c>
    </row>
    <row r="3" spans="1:6" x14ac:dyDescent="0.2">
      <c r="A3" s="17" t="s">
        <v>6</v>
      </c>
      <c r="B3" s="18">
        <v>46314</v>
      </c>
      <c r="C3" s="19">
        <v>0.5</v>
      </c>
      <c r="D3" s="19">
        <v>0.75</v>
      </c>
      <c r="E3" s="17" t="s">
        <v>7</v>
      </c>
      <c r="F3" s="20">
        <v>4503209</v>
      </c>
    </row>
    <row r="4" spans="1:6" x14ac:dyDescent="0.2">
      <c r="A4" s="17" t="s">
        <v>6</v>
      </c>
      <c r="B4" s="18">
        <v>46314</v>
      </c>
      <c r="C4" s="19">
        <v>0.5</v>
      </c>
      <c r="D4" s="19">
        <v>0.75</v>
      </c>
      <c r="E4" s="17" t="s">
        <v>7</v>
      </c>
      <c r="F4" s="20">
        <v>4503211</v>
      </c>
    </row>
    <row r="5" spans="1:6" x14ac:dyDescent="0.2">
      <c r="A5" s="17" t="s">
        <v>6</v>
      </c>
      <c r="B5" s="18">
        <v>46314</v>
      </c>
      <c r="C5" s="19">
        <v>0.54166666666666696</v>
      </c>
      <c r="D5" s="19">
        <v>0.66666666666666696</v>
      </c>
      <c r="E5" s="17" t="s">
        <v>7</v>
      </c>
      <c r="F5" s="20">
        <v>4515532</v>
      </c>
    </row>
    <row r="6" spans="1:6" x14ac:dyDescent="0.2">
      <c r="A6" s="17" t="s">
        <v>6</v>
      </c>
      <c r="B6" s="18">
        <v>46314</v>
      </c>
      <c r="C6" s="19">
        <v>0.54166666666666696</v>
      </c>
      <c r="D6" s="19">
        <v>0.625</v>
      </c>
      <c r="E6" s="17" t="s">
        <v>7</v>
      </c>
      <c r="F6" s="20">
        <v>4555685</v>
      </c>
    </row>
    <row r="7" spans="1:6" x14ac:dyDescent="0.2">
      <c r="A7" s="17" t="s">
        <v>6</v>
      </c>
      <c r="B7" s="18">
        <v>46314</v>
      </c>
      <c r="C7" s="19">
        <v>0.75</v>
      </c>
      <c r="D7" s="21">
        <v>0.91666666666666696</v>
      </c>
      <c r="E7" s="17" t="s">
        <v>7</v>
      </c>
      <c r="F7" s="20">
        <v>4503212</v>
      </c>
    </row>
    <row r="8" spans="1:6" x14ac:dyDescent="0.2">
      <c r="A8" s="17" t="s">
        <v>6</v>
      </c>
      <c r="B8" s="18">
        <v>46314</v>
      </c>
      <c r="C8" s="19">
        <v>0.75</v>
      </c>
      <c r="D8" s="21">
        <v>0.91666666666666696</v>
      </c>
      <c r="E8" s="17" t="s">
        <v>7</v>
      </c>
      <c r="F8" s="20">
        <v>4503208</v>
      </c>
    </row>
    <row r="9" spans="1:6" x14ac:dyDescent="0.2">
      <c r="A9" s="17" t="s">
        <v>6</v>
      </c>
      <c r="B9" s="18">
        <v>46314</v>
      </c>
      <c r="C9" s="19">
        <v>0.79166666666666696</v>
      </c>
      <c r="D9" s="21">
        <v>0.91666666666666696</v>
      </c>
      <c r="E9" s="17" t="s">
        <v>7</v>
      </c>
      <c r="F9" s="20">
        <v>4503602</v>
      </c>
    </row>
    <row r="10" spans="1:6" x14ac:dyDescent="0.2">
      <c r="A10" s="17" t="s">
        <v>6</v>
      </c>
      <c r="B10" s="18">
        <v>46314</v>
      </c>
      <c r="C10" s="19">
        <v>0.8125</v>
      </c>
      <c r="D10" s="21">
        <v>0.91666666666666696</v>
      </c>
      <c r="E10" s="17" t="s">
        <v>7</v>
      </c>
      <c r="F10" s="20">
        <v>4515532</v>
      </c>
    </row>
    <row r="11" spans="1:6" x14ac:dyDescent="0.2">
      <c r="A11" s="17" t="s">
        <v>6</v>
      </c>
      <c r="B11" s="18">
        <v>46314</v>
      </c>
      <c r="C11" s="19">
        <v>0.8125</v>
      </c>
      <c r="D11" s="21">
        <v>0.9375</v>
      </c>
      <c r="E11" s="17" t="s">
        <v>7</v>
      </c>
      <c r="F11" s="20">
        <v>4639813</v>
      </c>
    </row>
    <row r="12" spans="1:6" x14ac:dyDescent="0.2">
      <c r="A12" s="17" t="s">
        <v>6</v>
      </c>
      <c r="B12" s="18">
        <v>46314</v>
      </c>
      <c r="C12" s="19">
        <v>0.83333333333333304</v>
      </c>
      <c r="D12" s="21">
        <v>0.95833333333333304</v>
      </c>
      <c r="E12" s="17" t="s">
        <v>7</v>
      </c>
      <c r="F12" s="20">
        <v>4555685</v>
      </c>
    </row>
    <row r="13" spans="1:6" x14ac:dyDescent="0.2">
      <c r="A13" s="17" t="s">
        <v>6</v>
      </c>
      <c r="B13" s="18">
        <v>46314</v>
      </c>
      <c r="C13" s="19">
        <v>0.83333333333333304</v>
      </c>
      <c r="D13" s="21">
        <v>1</v>
      </c>
      <c r="E13" s="17" t="s">
        <v>7</v>
      </c>
      <c r="F13" s="17">
        <v>4571710</v>
      </c>
    </row>
    <row r="14" spans="1:6" x14ac:dyDescent="0.2">
      <c r="A14" s="17" t="s">
        <v>6</v>
      </c>
      <c r="B14" s="18">
        <v>46314</v>
      </c>
      <c r="C14" s="19">
        <v>0.83333333333333304</v>
      </c>
      <c r="D14" s="19">
        <v>1</v>
      </c>
      <c r="E14" s="17" t="s">
        <v>7</v>
      </c>
      <c r="F14" s="20">
        <v>4571713</v>
      </c>
    </row>
    <row r="15" spans="1:6" x14ac:dyDescent="0.2">
      <c r="A15" s="17" t="s">
        <v>6</v>
      </c>
      <c r="B15" s="18">
        <v>46315</v>
      </c>
      <c r="C15" s="19">
        <v>0.5</v>
      </c>
      <c r="D15" s="19">
        <v>0.72916666666666696</v>
      </c>
      <c r="E15" s="17" t="s">
        <v>7</v>
      </c>
      <c r="F15" s="20">
        <v>4515533</v>
      </c>
    </row>
    <row r="16" spans="1:6" x14ac:dyDescent="0.2">
      <c r="A16" s="17" t="s">
        <v>6</v>
      </c>
      <c r="B16" s="18">
        <v>46315</v>
      </c>
      <c r="C16" s="19">
        <v>0.52083333333333304</v>
      </c>
      <c r="D16" s="19">
        <v>0.72916666666666696</v>
      </c>
      <c r="E16" s="17" t="s">
        <v>7</v>
      </c>
      <c r="F16" s="20">
        <v>4503209</v>
      </c>
    </row>
    <row r="17" spans="1:6" x14ac:dyDescent="0.2">
      <c r="A17" s="17" t="s">
        <v>6</v>
      </c>
      <c r="B17" s="18">
        <v>46315</v>
      </c>
      <c r="C17" s="19">
        <v>0.54166666666666696</v>
      </c>
      <c r="D17" s="19">
        <v>0.6875</v>
      </c>
      <c r="E17" s="17" t="s">
        <v>7</v>
      </c>
      <c r="F17" s="20">
        <v>4503211</v>
      </c>
    </row>
    <row r="18" spans="1:6" x14ac:dyDescent="0.2">
      <c r="A18" s="17" t="s">
        <v>6</v>
      </c>
      <c r="B18" s="18">
        <v>46315</v>
      </c>
      <c r="C18" s="19">
        <v>0.54166666666666696</v>
      </c>
      <c r="D18" s="19">
        <v>0.625</v>
      </c>
      <c r="E18" s="17" t="s">
        <v>7</v>
      </c>
      <c r="F18" s="20">
        <v>4555685</v>
      </c>
    </row>
    <row r="19" spans="1:6" x14ac:dyDescent="0.2">
      <c r="A19" s="17" t="s">
        <v>6</v>
      </c>
      <c r="B19" s="18">
        <v>46315</v>
      </c>
      <c r="C19" s="19">
        <v>0.5625</v>
      </c>
      <c r="D19" s="19">
        <v>0.60416666666666696</v>
      </c>
      <c r="E19" s="17" t="s">
        <v>7</v>
      </c>
      <c r="F19" s="20">
        <v>4503212</v>
      </c>
    </row>
    <row r="20" spans="1:6" x14ac:dyDescent="0.2">
      <c r="A20" s="17" t="s">
        <v>6</v>
      </c>
      <c r="B20" s="18">
        <v>46315</v>
      </c>
      <c r="C20" s="19">
        <v>0.72916666666666696</v>
      </c>
      <c r="D20" s="19">
        <v>0.89583333333333304</v>
      </c>
      <c r="E20" s="17" t="s">
        <v>7</v>
      </c>
      <c r="F20" s="20">
        <v>4515532</v>
      </c>
    </row>
    <row r="21" spans="1:6" x14ac:dyDescent="0.2">
      <c r="A21" s="17" t="s">
        <v>6</v>
      </c>
      <c r="B21" s="18">
        <v>46315</v>
      </c>
      <c r="C21" s="19">
        <v>0.72916666666666696</v>
      </c>
      <c r="D21" s="21">
        <v>0.89583333333333304</v>
      </c>
      <c r="E21" s="17" t="s">
        <v>7</v>
      </c>
      <c r="F21" s="20">
        <v>4529491</v>
      </c>
    </row>
    <row r="22" spans="1:6" x14ac:dyDescent="0.2">
      <c r="A22" s="17" t="s">
        <v>6</v>
      </c>
      <c r="B22" s="18">
        <v>46315</v>
      </c>
      <c r="C22" s="19">
        <v>0.72916666666666696</v>
      </c>
      <c r="D22" s="21">
        <v>0.91666666666666696</v>
      </c>
      <c r="E22" s="17" t="s">
        <v>7</v>
      </c>
      <c r="F22" s="20">
        <v>4555685</v>
      </c>
    </row>
    <row r="23" spans="1:6" x14ac:dyDescent="0.2">
      <c r="A23" s="17" t="s">
        <v>6</v>
      </c>
      <c r="B23" s="18">
        <v>46315</v>
      </c>
      <c r="C23" s="19">
        <v>0.79166666666666696</v>
      </c>
      <c r="D23" s="21">
        <v>0.91666666666666696</v>
      </c>
      <c r="E23" s="17" t="s">
        <v>7</v>
      </c>
      <c r="F23" s="20">
        <v>4502586</v>
      </c>
    </row>
    <row r="24" spans="1:6" x14ac:dyDescent="0.2">
      <c r="A24" s="17" t="s">
        <v>6</v>
      </c>
      <c r="B24" s="18">
        <v>46315</v>
      </c>
      <c r="C24" s="19">
        <v>0.83333333333333304</v>
      </c>
      <c r="D24" s="21">
        <v>0.91666666666666696</v>
      </c>
      <c r="E24" s="17" t="s">
        <v>7</v>
      </c>
      <c r="F24" s="20">
        <v>4639814</v>
      </c>
    </row>
    <row r="25" spans="1:6" x14ac:dyDescent="0.2">
      <c r="A25" s="17" t="s">
        <v>6</v>
      </c>
      <c r="B25" s="18">
        <v>46315</v>
      </c>
      <c r="C25" s="19">
        <v>0.83333333333333304</v>
      </c>
      <c r="D25" s="21">
        <v>0.91666666666666696</v>
      </c>
      <c r="E25" s="17" t="s">
        <v>7</v>
      </c>
      <c r="F25" s="20">
        <v>4639815</v>
      </c>
    </row>
    <row r="26" spans="1:6" x14ac:dyDescent="0.2">
      <c r="A26" s="17" t="s">
        <v>6</v>
      </c>
      <c r="B26" s="18">
        <v>46315</v>
      </c>
      <c r="C26" s="19">
        <v>0.83333333333333304</v>
      </c>
      <c r="D26" s="19">
        <v>0.9375</v>
      </c>
      <c r="E26" s="17" t="s">
        <v>7</v>
      </c>
      <c r="F26" s="20">
        <v>4655053</v>
      </c>
    </row>
    <row r="27" spans="1:6" x14ac:dyDescent="0.2">
      <c r="A27" s="17" t="s">
        <v>6</v>
      </c>
      <c r="B27" s="18">
        <v>46315</v>
      </c>
      <c r="C27" s="19">
        <v>0.85416666666666696</v>
      </c>
      <c r="D27" s="19">
        <v>0.97916666666666696</v>
      </c>
      <c r="E27" s="17" t="s">
        <v>7</v>
      </c>
      <c r="F27" s="20">
        <v>4662891</v>
      </c>
    </row>
    <row r="28" spans="1:6" x14ac:dyDescent="0.2">
      <c r="A28" s="17" t="s">
        <v>6</v>
      </c>
      <c r="B28" s="18">
        <v>46315</v>
      </c>
      <c r="C28" s="19">
        <v>0.875</v>
      </c>
      <c r="D28" s="21">
        <v>1</v>
      </c>
      <c r="E28" s="17" t="s">
        <v>7</v>
      </c>
      <c r="F28" s="20">
        <v>4687178</v>
      </c>
    </row>
    <row r="29" spans="1:6" x14ac:dyDescent="0.2">
      <c r="A29" s="17" t="s">
        <v>6</v>
      </c>
      <c r="B29" s="18">
        <v>46315</v>
      </c>
      <c r="C29" s="19">
        <v>0.875</v>
      </c>
      <c r="D29" s="19">
        <v>1</v>
      </c>
      <c r="E29" s="17" t="s">
        <v>7</v>
      </c>
      <c r="F29" s="20">
        <v>4690296</v>
      </c>
    </row>
    <row r="30" spans="1:6" x14ac:dyDescent="0.2">
      <c r="A30" s="17" t="s">
        <v>6</v>
      </c>
      <c r="B30" s="18">
        <v>46316</v>
      </c>
      <c r="C30" s="19">
        <v>0.5</v>
      </c>
      <c r="D30" s="19">
        <v>0.75</v>
      </c>
      <c r="E30" s="17" t="s">
        <v>7</v>
      </c>
      <c r="F30" s="20">
        <v>4515533</v>
      </c>
    </row>
    <row r="31" spans="1:6" x14ac:dyDescent="0.2">
      <c r="A31" s="17" t="s">
        <v>6</v>
      </c>
      <c r="B31" s="18">
        <v>46316</v>
      </c>
      <c r="C31" s="19">
        <v>0.5</v>
      </c>
      <c r="D31" s="19">
        <v>0.75</v>
      </c>
      <c r="E31" s="17" t="s">
        <v>7</v>
      </c>
      <c r="F31" s="20">
        <v>4503209</v>
      </c>
    </row>
    <row r="32" spans="1:6" x14ac:dyDescent="0.2">
      <c r="A32" s="17" t="s">
        <v>6</v>
      </c>
      <c r="B32" s="18">
        <v>46316</v>
      </c>
      <c r="C32" s="19">
        <v>0.52083333333333304</v>
      </c>
      <c r="D32" s="19">
        <v>0.58333333333333304</v>
      </c>
      <c r="E32" s="17" t="s">
        <v>7</v>
      </c>
      <c r="F32" s="20">
        <v>4502586</v>
      </c>
    </row>
    <row r="33" spans="1:6" x14ac:dyDescent="0.2">
      <c r="A33" s="17" t="s">
        <v>6</v>
      </c>
      <c r="B33" s="18">
        <v>46316</v>
      </c>
      <c r="C33" s="19">
        <v>0.5625</v>
      </c>
      <c r="D33" s="19">
        <v>0.64583333333333304</v>
      </c>
      <c r="E33" s="17" t="s">
        <v>7</v>
      </c>
      <c r="F33" s="20">
        <v>4555685</v>
      </c>
    </row>
    <row r="34" spans="1:6" x14ac:dyDescent="0.2">
      <c r="A34" s="17" t="s">
        <v>6</v>
      </c>
      <c r="B34" s="18">
        <v>46316</v>
      </c>
      <c r="C34" s="19">
        <v>0.5625</v>
      </c>
      <c r="D34" s="19">
        <v>0.6875</v>
      </c>
      <c r="E34" s="17" t="s">
        <v>7</v>
      </c>
      <c r="F34" s="17">
        <v>4571710</v>
      </c>
    </row>
    <row r="35" spans="1:6" x14ac:dyDescent="0.2">
      <c r="A35" s="17" t="s">
        <v>6</v>
      </c>
      <c r="B35" s="18">
        <v>46316</v>
      </c>
      <c r="C35" s="19">
        <v>0.75</v>
      </c>
      <c r="D35" s="21">
        <v>0.89583333333333304</v>
      </c>
      <c r="E35" s="17" t="s">
        <v>7</v>
      </c>
      <c r="F35" s="20">
        <v>4503212</v>
      </c>
    </row>
    <row r="36" spans="1:6" x14ac:dyDescent="0.2">
      <c r="A36" s="17" t="s">
        <v>6</v>
      </c>
      <c r="B36" s="18">
        <v>46316</v>
      </c>
      <c r="C36" s="19">
        <v>0.75</v>
      </c>
      <c r="D36" s="21">
        <v>0.91666666666666696</v>
      </c>
      <c r="E36" s="17" t="s">
        <v>7</v>
      </c>
      <c r="F36" s="20">
        <v>4503208</v>
      </c>
    </row>
    <row r="37" spans="1:6" x14ac:dyDescent="0.2">
      <c r="A37" s="17" t="s">
        <v>6</v>
      </c>
      <c r="B37" s="18">
        <v>46316</v>
      </c>
      <c r="C37" s="19">
        <v>0.77083333333333304</v>
      </c>
      <c r="D37" s="21">
        <v>0.91666666666666696</v>
      </c>
      <c r="E37" s="17" t="s">
        <v>7</v>
      </c>
      <c r="F37" s="17">
        <v>4571710</v>
      </c>
    </row>
    <row r="38" spans="1:6" x14ac:dyDescent="0.2">
      <c r="A38" s="17" t="s">
        <v>6</v>
      </c>
      <c r="B38" s="18">
        <v>46316</v>
      </c>
      <c r="C38" s="19">
        <v>0.8125</v>
      </c>
      <c r="D38" s="21">
        <v>0.91666666666666696</v>
      </c>
      <c r="E38" s="17" t="s">
        <v>7</v>
      </c>
      <c r="F38" s="20">
        <v>4639814</v>
      </c>
    </row>
    <row r="39" spans="1:6" x14ac:dyDescent="0.2">
      <c r="A39" s="17" t="s">
        <v>6</v>
      </c>
      <c r="B39" s="18">
        <v>46316</v>
      </c>
      <c r="C39" s="19">
        <v>0.83333333333333304</v>
      </c>
      <c r="D39" s="21">
        <v>0.91666666666666696</v>
      </c>
      <c r="E39" s="17" t="s">
        <v>7</v>
      </c>
      <c r="F39" s="20">
        <v>4529491</v>
      </c>
    </row>
    <row r="40" spans="1:6" x14ac:dyDescent="0.2">
      <c r="A40" s="17" t="s">
        <v>6</v>
      </c>
      <c r="B40" s="18">
        <v>46316</v>
      </c>
      <c r="C40" s="19">
        <v>0.85416666666666696</v>
      </c>
      <c r="D40" s="21">
        <v>0.95833333333333304</v>
      </c>
      <c r="E40" s="17" t="s">
        <v>7</v>
      </c>
      <c r="F40" s="20">
        <v>4571713</v>
      </c>
    </row>
    <row r="41" spans="1:6" x14ac:dyDescent="0.2">
      <c r="A41" s="17" t="s">
        <v>6</v>
      </c>
      <c r="B41" s="18">
        <v>46316</v>
      </c>
      <c r="C41" s="19">
        <v>0.85416666666666696</v>
      </c>
      <c r="D41" s="21">
        <v>0.97916666666666696</v>
      </c>
      <c r="E41" s="17" t="s">
        <v>7</v>
      </c>
      <c r="F41" s="20">
        <v>4502586</v>
      </c>
    </row>
    <row r="42" spans="1:6" x14ac:dyDescent="0.2">
      <c r="A42" s="17" t="s">
        <v>6</v>
      </c>
      <c r="B42" s="18">
        <v>46316</v>
      </c>
      <c r="C42" s="19">
        <v>0.85416666666666696</v>
      </c>
      <c r="D42" s="21">
        <v>1</v>
      </c>
      <c r="E42" s="17" t="s">
        <v>7</v>
      </c>
      <c r="F42" s="20">
        <v>4592954</v>
      </c>
    </row>
    <row r="43" spans="1:6" x14ac:dyDescent="0.2">
      <c r="A43" s="17" t="s">
        <v>6</v>
      </c>
      <c r="B43" s="18">
        <v>46316</v>
      </c>
      <c r="C43" s="19">
        <v>0.875</v>
      </c>
      <c r="D43" s="21">
        <v>1</v>
      </c>
      <c r="E43" s="17" t="s">
        <v>7</v>
      </c>
      <c r="F43" s="20">
        <v>4655053</v>
      </c>
    </row>
    <row r="44" spans="1:6" x14ac:dyDescent="0.2">
      <c r="A44" s="17" t="s">
        <v>6</v>
      </c>
      <c r="B44" s="18">
        <v>46317</v>
      </c>
      <c r="C44" s="19">
        <v>0.5</v>
      </c>
      <c r="D44" s="19">
        <v>0.75</v>
      </c>
      <c r="E44" s="17" t="s">
        <v>7</v>
      </c>
      <c r="F44" s="20">
        <v>4515533</v>
      </c>
    </row>
    <row r="45" spans="1:6" x14ac:dyDescent="0.2">
      <c r="A45" s="17" t="s">
        <v>6</v>
      </c>
      <c r="B45" s="18">
        <v>46317</v>
      </c>
      <c r="C45" s="19">
        <v>0.5</v>
      </c>
      <c r="D45" s="19">
        <v>0.75</v>
      </c>
      <c r="E45" s="17" t="s">
        <v>7</v>
      </c>
      <c r="F45" s="20">
        <v>4503209</v>
      </c>
    </row>
    <row r="46" spans="1:6" x14ac:dyDescent="0.2">
      <c r="A46" s="17" t="s">
        <v>6</v>
      </c>
      <c r="B46" s="18">
        <v>46317</v>
      </c>
      <c r="C46" s="19">
        <v>0.52083333333333304</v>
      </c>
      <c r="D46" s="19">
        <v>0.60416666666666696</v>
      </c>
      <c r="E46" s="17" t="s">
        <v>7</v>
      </c>
      <c r="F46" s="20">
        <v>4503211</v>
      </c>
    </row>
    <row r="47" spans="1:6" x14ac:dyDescent="0.2">
      <c r="A47" s="17" t="s">
        <v>6</v>
      </c>
      <c r="B47" s="18">
        <v>46317</v>
      </c>
      <c r="C47" s="19">
        <v>0.54166666666666696</v>
      </c>
      <c r="D47" s="19">
        <v>0.60416666666666696</v>
      </c>
      <c r="E47" s="17" t="s">
        <v>7</v>
      </c>
      <c r="F47" s="20">
        <v>4555685</v>
      </c>
    </row>
    <row r="48" spans="1:6" x14ac:dyDescent="0.2">
      <c r="A48" s="17" t="s">
        <v>6</v>
      </c>
      <c r="B48" s="18">
        <v>46317</v>
      </c>
      <c r="C48" s="19">
        <v>0.5625</v>
      </c>
      <c r="D48" s="19">
        <v>0.64583333333333304</v>
      </c>
      <c r="E48" s="17" t="s">
        <v>7</v>
      </c>
      <c r="F48" s="20">
        <v>4502586</v>
      </c>
    </row>
    <row r="49" spans="1:6" x14ac:dyDescent="0.2">
      <c r="A49" s="17" t="s">
        <v>6</v>
      </c>
      <c r="B49" s="18">
        <v>46317</v>
      </c>
      <c r="C49" s="19">
        <v>0.58333333333333304</v>
      </c>
      <c r="D49" s="19">
        <v>0.6875</v>
      </c>
      <c r="E49" s="17" t="s">
        <v>7</v>
      </c>
      <c r="F49" s="20">
        <v>4503602</v>
      </c>
    </row>
    <row r="50" spans="1:6" x14ac:dyDescent="0.2">
      <c r="A50" s="17" t="s">
        <v>6</v>
      </c>
      <c r="B50" s="18">
        <v>46317</v>
      </c>
      <c r="C50" s="19">
        <v>0.58333333333333304</v>
      </c>
      <c r="D50" s="19">
        <v>0.75</v>
      </c>
      <c r="E50" s="17" t="s">
        <v>7</v>
      </c>
      <c r="F50" s="20">
        <v>4592955</v>
      </c>
    </row>
    <row r="51" spans="1:6" x14ac:dyDescent="0.2">
      <c r="A51" s="17" t="s">
        <v>6</v>
      </c>
      <c r="B51" s="18">
        <v>46317</v>
      </c>
      <c r="C51" s="19">
        <v>0.75</v>
      </c>
      <c r="D51" s="21">
        <v>0.91666666666666696</v>
      </c>
      <c r="E51" s="17" t="s">
        <v>7</v>
      </c>
      <c r="F51" s="20">
        <v>4503212</v>
      </c>
    </row>
    <row r="52" spans="1:6" x14ac:dyDescent="0.2">
      <c r="A52" s="17" t="s">
        <v>6</v>
      </c>
      <c r="B52" s="18">
        <v>46317</v>
      </c>
      <c r="C52" s="19">
        <v>0.75</v>
      </c>
      <c r="D52" s="21">
        <v>0.9375</v>
      </c>
      <c r="E52" s="17" t="s">
        <v>7</v>
      </c>
      <c r="F52" s="20">
        <v>4503208</v>
      </c>
    </row>
    <row r="53" spans="1:6" x14ac:dyDescent="0.2">
      <c r="A53" s="17" t="s">
        <v>6</v>
      </c>
      <c r="B53" s="18">
        <v>46317</v>
      </c>
      <c r="C53" s="19">
        <v>0.75</v>
      </c>
      <c r="D53" s="21">
        <v>0.9375</v>
      </c>
      <c r="E53" s="17" t="s">
        <v>7</v>
      </c>
      <c r="F53" s="20">
        <v>4503602</v>
      </c>
    </row>
    <row r="54" spans="1:6" x14ac:dyDescent="0.2">
      <c r="A54" s="17" t="s">
        <v>6</v>
      </c>
      <c r="B54" s="18">
        <v>46317</v>
      </c>
      <c r="C54" s="19">
        <v>0.8125</v>
      </c>
      <c r="D54" s="21">
        <v>0.9375</v>
      </c>
      <c r="E54" s="17" t="s">
        <v>7</v>
      </c>
      <c r="F54" s="20">
        <v>4515532</v>
      </c>
    </row>
    <row r="55" spans="1:6" x14ac:dyDescent="0.2">
      <c r="A55" s="17" t="s">
        <v>6</v>
      </c>
      <c r="B55" s="18">
        <v>46317</v>
      </c>
      <c r="C55" s="19">
        <v>0.83333333333333304</v>
      </c>
      <c r="D55" s="21">
        <v>0.9375</v>
      </c>
      <c r="E55" s="17" t="s">
        <v>7</v>
      </c>
      <c r="F55" s="20">
        <v>4529491</v>
      </c>
    </row>
    <row r="56" spans="1:6" x14ac:dyDescent="0.2">
      <c r="A56" s="17" t="s">
        <v>6</v>
      </c>
      <c r="B56" s="18">
        <v>46317</v>
      </c>
      <c r="C56" s="19">
        <v>0.83333333333333304</v>
      </c>
      <c r="D56" s="21">
        <v>0.97916666666666696</v>
      </c>
      <c r="E56" s="17" t="s">
        <v>7</v>
      </c>
      <c r="F56" s="20">
        <v>4555685</v>
      </c>
    </row>
    <row r="57" spans="1:6" x14ac:dyDescent="0.2">
      <c r="A57" s="17" t="s">
        <v>6</v>
      </c>
      <c r="B57" s="18">
        <v>46317</v>
      </c>
      <c r="C57" s="19">
        <v>0.83333333333333304</v>
      </c>
      <c r="D57" s="21">
        <v>1</v>
      </c>
      <c r="E57" s="17" t="s">
        <v>7</v>
      </c>
      <c r="F57" s="20">
        <v>4502586</v>
      </c>
    </row>
    <row r="58" spans="1:6" x14ac:dyDescent="0.2">
      <c r="A58" s="17" t="s">
        <v>6</v>
      </c>
      <c r="B58" s="18">
        <v>46317</v>
      </c>
      <c r="C58" s="19">
        <v>0.83333333333333304</v>
      </c>
      <c r="D58" s="21">
        <v>1</v>
      </c>
      <c r="E58" s="17" t="s">
        <v>7</v>
      </c>
      <c r="F58" s="20">
        <v>4592958</v>
      </c>
    </row>
    <row r="59" spans="1:6" x14ac:dyDescent="0.2">
      <c r="A59" s="17" t="s">
        <v>6</v>
      </c>
      <c r="B59" s="18">
        <v>46318</v>
      </c>
      <c r="C59" s="19">
        <v>0.5</v>
      </c>
      <c r="D59" s="19">
        <v>0.75</v>
      </c>
      <c r="E59" s="17" t="s">
        <v>7</v>
      </c>
      <c r="F59" s="20">
        <v>4515533</v>
      </c>
    </row>
    <row r="60" spans="1:6" x14ac:dyDescent="0.2">
      <c r="A60" s="17" t="s">
        <v>6</v>
      </c>
      <c r="B60" s="18">
        <v>46318</v>
      </c>
      <c r="C60" s="19">
        <v>0.5</v>
      </c>
      <c r="D60" s="19">
        <v>0.75</v>
      </c>
      <c r="E60" s="17" t="s">
        <v>7</v>
      </c>
      <c r="F60" s="20">
        <v>4503209</v>
      </c>
    </row>
    <row r="61" spans="1:6" x14ac:dyDescent="0.2">
      <c r="A61" s="17" t="s">
        <v>6</v>
      </c>
      <c r="B61" s="18">
        <v>46318</v>
      </c>
      <c r="C61" s="19">
        <v>0.52083333333333304</v>
      </c>
      <c r="D61" s="19">
        <v>0.60416666666666696</v>
      </c>
      <c r="E61" s="17" t="s">
        <v>7</v>
      </c>
      <c r="F61" s="20">
        <v>4515532</v>
      </c>
    </row>
    <row r="62" spans="1:6" x14ac:dyDescent="0.2">
      <c r="A62" s="17" t="s">
        <v>6</v>
      </c>
      <c r="B62" s="18">
        <v>46318</v>
      </c>
      <c r="C62" s="19">
        <v>0.52083333333333304</v>
      </c>
      <c r="D62" s="19">
        <v>0.60416666666666696</v>
      </c>
      <c r="E62" s="17" t="s">
        <v>7</v>
      </c>
      <c r="F62" s="20">
        <v>4571713</v>
      </c>
    </row>
    <row r="63" spans="1:6" x14ac:dyDescent="0.2">
      <c r="A63" s="17" t="s">
        <v>6</v>
      </c>
      <c r="B63" s="18">
        <v>46318</v>
      </c>
      <c r="C63" s="19">
        <v>0.54166666666666696</v>
      </c>
      <c r="D63" s="19">
        <v>0.64583333333333304</v>
      </c>
      <c r="E63" s="17" t="s">
        <v>7</v>
      </c>
      <c r="F63" s="20">
        <v>4502586</v>
      </c>
    </row>
    <row r="64" spans="1:6" x14ac:dyDescent="0.2">
      <c r="A64" s="17" t="s">
        <v>6</v>
      </c>
      <c r="B64" s="18">
        <v>46318</v>
      </c>
      <c r="C64" s="19">
        <v>0.54166666666666696</v>
      </c>
      <c r="D64" s="19">
        <v>0.64583333333333304</v>
      </c>
      <c r="E64" s="17" t="s">
        <v>7</v>
      </c>
      <c r="F64" s="20">
        <v>4555685</v>
      </c>
    </row>
    <row r="65" spans="1:6" x14ac:dyDescent="0.2">
      <c r="A65" s="17" t="s">
        <v>6</v>
      </c>
      <c r="B65" s="18">
        <v>46318</v>
      </c>
      <c r="C65" s="19">
        <v>0.54166666666666696</v>
      </c>
      <c r="D65" s="19">
        <v>0.64583333333333304</v>
      </c>
      <c r="E65" s="17" t="s">
        <v>7</v>
      </c>
      <c r="F65" s="17">
        <v>4571710</v>
      </c>
    </row>
    <row r="66" spans="1:6" x14ac:dyDescent="0.2">
      <c r="A66" s="17" t="s">
        <v>6</v>
      </c>
      <c r="B66" s="18">
        <v>46318</v>
      </c>
      <c r="C66" s="19">
        <v>0.54166666666666696</v>
      </c>
      <c r="D66" s="19">
        <v>0.70833333333333304</v>
      </c>
      <c r="E66" s="17" t="s">
        <v>7</v>
      </c>
      <c r="F66" s="20">
        <v>4592954</v>
      </c>
    </row>
    <row r="67" spans="1:6" x14ac:dyDescent="0.2">
      <c r="A67" s="17" t="s">
        <v>6</v>
      </c>
      <c r="B67" s="18">
        <v>46318</v>
      </c>
      <c r="C67" s="19">
        <v>0.5625</v>
      </c>
      <c r="D67" s="19">
        <v>0.75</v>
      </c>
      <c r="E67" s="17" t="s">
        <v>7</v>
      </c>
      <c r="F67" s="20">
        <v>4503212</v>
      </c>
    </row>
    <row r="68" spans="1:6" x14ac:dyDescent="0.2">
      <c r="A68" s="17" t="s">
        <v>6</v>
      </c>
      <c r="B68" s="18">
        <v>46318</v>
      </c>
      <c r="C68" s="19">
        <v>0.58333333333333304</v>
      </c>
      <c r="D68" s="19">
        <v>0.75</v>
      </c>
      <c r="E68" s="17" t="s">
        <v>7</v>
      </c>
      <c r="F68" s="20">
        <v>4503208</v>
      </c>
    </row>
    <row r="69" spans="1:6" x14ac:dyDescent="0.2">
      <c r="A69" s="17" t="s">
        <v>6</v>
      </c>
      <c r="B69" s="18">
        <v>46318</v>
      </c>
      <c r="C69" s="19">
        <v>0.75</v>
      </c>
      <c r="D69" s="19">
        <v>0.91666666666666696</v>
      </c>
      <c r="E69" s="17" t="s">
        <v>7</v>
      </c>
      <c r="F69" s="20">
        <v>4503211</v>
      </c>
    </row>
    <row r="70" spans="1:6" x14ac:dyDescent="0.2">
      <c r="A70" s="17" t="s">
        <v>6</v>
      </c>
      <c r="B70" s="18">
        <v>46318</v>
      </c>
      <c r="C70" s="19">
        <v>0.75</v>
      </c>
      <c r="D70" s="19">
        <v>0.91666666666666696</v>
      </c>
      <c r="E70" s="17" t="s">
        <v>7</v>
      </c>
      <c r="F70" s="20">
        <v>4503602</v>
      </c>
    </row>
    <row r="71" spans="1:6" x14ac:dyDescent="0.2">
      <c r="A71" s="17" t="s">
        <v>6</v>
      </c>
      <c r="B71" s="18">
        <v>46318</v>
      </c>
      <c r="C71" s="19">
        <v>0.75</v>
      </c>
      <c r="D71" s="19">
        <v>0.91666666666666696</v>
      </c>
      <c r="E71" s="17" t="s">
        <v>7</v>
      </c>
      <c r="F71" s="20">
        <v>4529491</v>
      </c>
    </row>
    <row r="72" spans="1:6" x14ac:dyDescent="0.2">
      <c r="A72" s="17" t="s">
        <v>6</v>
      </c>
      <c r="B72" s="18">
        <v>46318</v>
      </c>
      <c r="C72" s="19">
        <v>0.75</v>
      </c>
      <c r="D72" s="19">
        <v>0.91666666666666696</v>
      </c>
      <c r="E72" s="17" t="s">
        <v>7</v>
      </c>
      <c r="F72" s="20">
        <v>4502586</v>
      </c>
    </row>
    <row r="73" spans="1:6" x14ac:dyDescent="0.2">
      <c r="A73" s="17" t="s">
        <v>6</v>
      </c>
      <c r="B73" s="18">
        <v>46318</v>
      </c>
      <c r="C73" s="19">
        <v>0.75</v>
      </c>
      <c r="D73" s="19">
        <v>0.91666666666666696</v>
      </c>
      <c r="E73" s="17" t="s">
        <v>7</v>
      </c>
      <c r="F73" s="17">
        <v>4571710</v>
      </c>
    </row>
    <row r="74" spans="1:6" x14ac:dyDescent="0.2">
      <c r="A74" s="17" t="s">
        <v>6</v>
      </c>
      <c r="B74" s="18">
        <v>46318</v>
      </c>
      <c r="C74" s="19">
        <v>0.77083333333333304</v>
      </c>
      <c r="D74" s="19">
        <v>0.91666666666666696</v>
      </c>
      <c r="E74" s="17" t="s">
        <v>7</v>
      </c>
      <c r="F74" s="20">
        <v>4571713</v>
      </c>
    </row>
    <row r="75" spans="1:6" x14ac:dyDescent="0.2">
      <c r="A75" s="17" t="s">
        <v>6</v>
      </c>
      <c r="B75" s="18">
        <v>46318</v>
      </c>
      <c r="C75" s="19">
        <v>0.77083333333333304</v>
      </c>
      <c r="D75" s="19">
        <v>0.91666666666666696</v>
      </c>
      <c r="E75" s="17" t="s">
        <v>7</v>
      </c>
      <c r="F75" s="20">
        <v>4592954</v>
      </c>
    </row>
    <row r="76" spans="1:6" x14ac:dyDescent="0.2">
      <c r="A76" s="17" t="s">
        <v>6</v>
      </c>
      <c r="B76" s="18">
        <v>46318</v>
      </c>
      <c r="C76" s="19">
        <v>0.8125</v>
      </c>
      <c r="D76" s="19">
        <v>0.91666666666666696</v>
      </c>
      <c r="E76" s="17" t="s">
        <v>7</v>
      </c>
      <c r="F76" s="20">
        <v>4592958</v>
      </c>
    </row>
    <row r="77" spans="1:6" x14ac:dyDescent="0.2">
      <c r="A77" s="17" t="s">
        <v>6</v>
      </c>
      <c r="B77" s="18">
        <v>46318</v>
      </c>
      <c r="C77" s="19">
        <v>0.8125</v>
      </c>
      <c r="D77" s="19">
        <v>0.9375</v>
      </c>
      <c r="E77" s="17" t="s">
        <v>7</v>
      </c>
      <c r="F77" s="20">
        <v>4592955</v>
      </c>
    </row>
    <row r="78" spans="1:6" x14ac:dyDescent="0.2">
      <c r="A78" s="17" t="s">
        <v>6</v>
      </c>
      <c r="B78" s="18">
        <v>46318</v>
      </c>
      <c r="C78" s="19">
        <v>0.8125</v>
      </c>
      <c r="D78" s="19">
        <v>0.9375</v>
      </c>
      <c r="E78" s="17" t="s">
        <v>7</v>
      </c>
      <c r="F78" s="20">
        <v>4592956</v>
      </c>
    </row>
    <row r="79" spans="1:6" x14ac:dyDescent="0.2">
      <c r="A79" s="17" t="s">
        <v>6</v>
      </c>
      <c r="B79" s="18">
        <v>46318</v>
      </c>
      <c r="C79" s="19">
        <v>0.8125</v>
      </c>
      <c r="D79" s="19">
        <v>0.9375</v>
      </c>
      <c r="E79" s="17" t="s">
        <v>7</v>
      </c>
      <c r="F79" s="20">
        <v>4594875</v>
      </c>
    </row>
    <row r="80" spans="1:6" x14ac:dyDescent="0.2">
      <c r="A80" s="17" t="s">
        <v>6</v>
      </c>
      <c r="B80" s="18">
        <v>46318</v>
      </c>
      <c r="C80" s="19">
        <v>0.8125</v>
      </c>
      <c r="D80" s="19">
        <v>0.9375</v>
      </c>
      <c r="E80" s="17" t="s">
        <v>7</v>
      </c>
      <c r="F80" s="20">
        <v>4687178</v>
      </c>
    </row>
    <row r="81" spans="1:6" x14ac:dyDescent="0.2">
      <c r="A81" s="17" t="s">
        <v>6</v>
      </c>
      <c r="B81" s="18">
        <v>46318</v>
      </c>
      <c r="C81" s="19">
        <v>0.83333333333333304</v>
      </c>
      <c r="D81" s="19">
        <v>0.9375</v>
      </c>
      <c r="E81" s="17" t="s">
        <v>7</v>
      </c>
      <c r="F81" s="20">
        <v>4690296</v>
      </c>
    </row>
    <row r="82" spans="1:6" x14ac:dyDescent="0.2">
      <c r="A82" s="17" t="s">
        <v>6</v>
      </c>
      <c r="B82" s="18">
        <v>46318</v>
      </c>
      <c r="C82" s="19">
        <v>0.83333333333333304</v>
      </c>
      <c r="D82" s="19">
        <v>0.95833333333333304</v>
      </c>
      <c r="E82" s="17" t="s">
        <v>7</v>
      </c>
      <c r="F82" s="20">
        <v>4655053</v>
      </c>
    </row>
    <row r="83" spans="1:6" x14ac:dyDescent="0.2">
      <c r="A83" s="17" t="s">
        <v>6</v>
      </c>
      <c r="B83" s="18">
        <v>46318</v>
      </c>
      <c r="C83" s="19">
        <v>0.83333333333333304</v>
      </c>
      <c r="D83" s="19">
        <v>0.95833333333333304</v>
      </c>
      <c r="E83" s="17" t="s">
        <v>7</v>
      </c>
      <c r="F83" s="20">
        <v>4594878</v>
      </c>
    </row>
    <row r="84" spans="1:6" x14ac:dyDescent="0.2">
      <c r="A84" s="17" t="s">
        <v>6</v>
      </c>
      <c r="B84" s="18">
        <v>46318</v>
      </c>
      <c r="C84" s="19">
        <v>0.83333333333333304</v>
      </c>
      <c r="D84" s="19">
        <v>0.95833333333333304</v>
      </c>
      <c r="E84" s="17" t="s">
        <v>7</v>
      </c>
      <c r="F84" s="20">
        <v>4515533</v>
      </c>
    </row>
    <row r="85" spans="1:6" x14ac:dyDescent="0.2">
      <c r="A85" s="17" t="s">
        <v>6</v>
      </c>
      <c r="B85" s="18">
        <v>46318</v>
      </c>
      <c r="C85" s="19">
        <v>0.89583333333333304</v>
      </c>
      <c r="D85" s="19">
        <v>0.95833333333333304</v>
      </c>
      <c r="E85" s="17" t="s">
        <v>7</v>
      </c>
      <c r="F85" s="20">
        <v>4503209</v>
      </c>
    </row>
    <row r="86" spans="1:6" x14ac:dyDescent="0.2">
      <c r="A86" s="17" t="s">
        <v>6</v>
      </c>
      <c r="B86" s="18">
        <v>46318</v>
      </c>
      <c r="C86" s="19">
        <v>0.89583333333333304</v>
      </c>
      <c r="D86" s="19">
        <v>0.95833333333333304</v>
      </c>
      <c r="E86" s="17" t="s">
        <v>7</v>
      </c>
      <c r="F86" s="20">
        <v>4555685</v>
      </c>
    </row>
    <row r="87" spans="1:6" x14ac:dyDescent="0.2">
      <c r="A87" s="17" t="s">
        <v>6</v>
      </c>
      <c r="B87" s="18">
        <v>46318</v>
      </c>
      <c r="C87" s="19">
        <v>0.89583333333333304</v>
      </c>
      <c r="D87" s="19">
        <v>0.97916666666666696</v>
      </c>
      <c r="E87" s="17" t="s">
        <v>7</v>
      </c>
      <c r="F87" s="20">
        <v>4503208</v>
      </c>
    </row>
    <row r="88" spans="1:6" x14ac:dyDescent="0.2">
      <c r="A88" s="17" t="s">
        <v>6</v>
      </c>
      <c r="B88" s="18">
        <v>46318</v>
      </c>
      <c r="C88" s="19">
        <v>0.89583333333333304</v>
      </c>
      <c r="D88" s="19">
        <v>1</v>
      </c>
      <c r="E88" s="17" t="s">
        <v>7</v>
      </c>
      <c r="F88" s="20">
        <v>4503212</v>
      </c>
    </row>
    <row r="89" spans="1:6" x14ac:dyDescent="0.2">
      <c r="A89" s="17" t="s">
        <v>6</v>
      </c>
      <c r="B89" s="18">
        <v>46318</v>
      </c>
      <c r="C89" s="19">
        <v>0.89583333333333304</v>
      </c>
      <c r="D89" s="19">
        <v>1</v>
      </c>
      <c r="E89" s="17" t="s">
        <v>7</v>
      </c>
      <c r="F89" s="20">
        <v>4515532</v>
      </c>
    </row>
    <row r="90" spans="1:6" x14ac:dyDescent="0.2">
      <c r="A90" s="17" t="s">
        <v>6</v>
      </c>
      <c r="B90" s="18">
        <v>46319</v>
      </c>
      <c r="C90" s="19">
        <v>0.5</v>
      </c>
      <c r="D90" s="19">
        <v>0.75</v>
      </c>
      <c r="E90" s="17" t="s">
        <v>7</v>
      </c>
      <c r="F90" s="20">
        <v>4502586</v>
      </c>
    </row>
    <row r="91" spans="1:6" x14ac:dyDescent="0.2">
      <c r="A91" s="17" t="s">
        <v>6</v>
      </c>
      <c r="B91" s="18">
        <v>46319</v>
      </c>
      <c r="C91" s="19">
        <v>0.5</v>
      </c>
      <c r="D91" s="19">
        <v>0.75</v>
      </c>
      <c r="E91" s="17" t="s">
        <v>7</v>
      </c>
      <c r="F91" s="20">
        <v>4687178</v>
      </c>
    </row>
    <row r="92" spans="1:6" x14ac:dyDescent="0.2">
      <c r="A92" s="17" t="s">
        <v>6</v>
      </c>
      <c r="B92" s="18">
        <v>46319</v>
      </c>
      <c r="C92" s="19">
        <v>0.5</v>
      </c>
      <c r="D92" s="19">
        <v>0.60416666666666696</v>
      </c>
      <c r="E92" s="17" t="s">
        <v>7</v>
      </c>
      <c r="F92" s="20">
        <v>4690296</v>
      </c>
    </row>
    <row r="93" spans="1:6" x14ac:dyDescent="0.2">
      <c r="A93" s="17" t="s">
        <v>6</v>
      </c>
      <c r="B93" s="18">
        <v>46319</v>
      </c>
      <c r="C93" s="19">
        <v>0.52083333333333304</v>
      </c>
      <c r="D93" s="19">
        <v>0.75</v>
      </c>
      <c r="E93" s="17" t="s">
        <v>7</v>
      </c>
      <c r="F93" s="20">
        <v>4503602</v>
      </c>
    </row>
    <row r="94" spans="1:6" x14ac:dyDescent="0.2">
      <c r="A94" s="17" t="s">
        <v>6</v>
      </c>
      <c r="B94" s="18">
        <v>46319</v>
      </c>
      <c r="C94" s="19">
        <v>0.54166666666666696</v>
      </c>
      <c r="D94" s="19">
        <v>0.60416666666666696</v>
      </c>
      <c r="E94" s="17" t="s">
        <v>7</v>
      </c>
      <c r="F94" s="20">
        <v>4515532</v>
      </c>
    </row>
    <row r="95" spans="1:6" x14ac:dyDescent="0.2">
      <c r="A95" s="17" t="s">
        <v>6</v>
      </c>
      <c r="B95" s="18">
        <v>46319</v>
      </c>
      <c r="C95" s="19">
        <v>0.54166666666666696</v>
      </c>
      <c r="D95" s="19">
        <v>0.66666666666666696</v>
      </c>
      <c r="E95" s="17" t="s">
        <v>7</v>
      </c>
      <c r="F95" s="20">
        <v>4529491</v>
      </c>
    </row>
    <row r="96" spans="1:6" x14ac:dyDescent="0.2">
      <c r="A96" s="17" t="s">
        <v>6</v>
      </c>
      <c r="B96" s="18">
        <v>46319</v>
      </c>
      <c r="C96" s="19">
        <v>0.54166666666666696</v>
      </c>
      <c r="D96" s="19">
        <v>0.66666666666666696</v>
      </c>
      <c r="E96" s="17" t="s">
        <v>7</v>
      </c>
      <c r="F96" s="17">
        <v>4571710</v>
      </c>
    </row>
    <row r="97" spans="1:6" x14ac:dyDescent="0.2">
      <c r="A97" s="17" t="s">
        <v>6</v>
      </c>
      <c r="B97" s="18">
        <v>46319</v>
      </c>
      <c r="C97" s="19">
        <v>0.54166666666666696</v>
      </c>
      <c r="D97" s="19">
        <v>0.64583333333333304</v>
      </c>
      <c r="E97" s="17" t="s">
        <v>7</v>
      </c>
      <c r="F97" s="20">
        <v>4592954</v>
      </c>
    </row>
    <row r="98" spans="1:6" x14ac:dyDescent="0.2">
      <c r="A98" s="17" t="s">
        <v>6</v>
      </c>
      <c r="B98" s="18">
        <v>46319</v>
      </c>
      <c r="C98" s="19">
        <v>0.5625</v>
      </c>
      <c r="D98" s="19">
        <v>0.64583333333333304</v>
      </c>
      <c r="E98" s="17" t="s">
        <v>7</v>
      </c>
      <c r="F98" s="20">
        <v>4503211</v>
      </c>
    </row>
    <row r="99" spans="1:6" x14ac:dyDescent="0.2">
      <c r="A99" s="17" t="s">
        <v>6</v>
      </c>
      <c r="B99" s="18">
        <v>46319</v>
      </c>
      <c r="C99" s="19">
        <v>0.58333333333333304</v>
      </c>
      <c r="D99" s="19">
        <v>0.66666666666666696</v>
      </c>
      <c r="E99" s="17" t="s">
        <v>7</v>
      </c>
      <c r="F99" s="20">
        <v>4592955</v>
      </c>
    </row>
    <row r="100" spans="1:6" x14ac:dyDescent="0.2">
      <c r="A100" s="17" t="s">
        <v>6</v>
      </c>
      <c r="B100" s="18">
        <v>46319</v>
      </c>
      <c r="C100" s="19">
        <v>0.58333333333333304</v>
      </c>
      <c r="D100" s="19">
        <v>0.75</v>
      </c>
      <c r="E100" s="17" t="s">
        <v>7</v>
      </c>
      <c r="F100" s="20">
        <v>4503212</v>
      </c>
    </row>
    <row r="101" spans="1:6" x14ac:dyDescent="0.2">
      <c r="A101" s="17" t="s">
        <v>6</v>
      </c>
      <c r="B101" s="18">
        <v>46319</v>
      </c>
      <c r="C101" s="19">
        <v>0.75</v>
      </c>
      <c r="D101" s="19">
        <v>0.85416666666666696</v>
      </c>
      <c r="E101" s="17" t="s">
        <v>7</v>
      </c>
      <c r="F101" s="20">
        <v>4503211</v>
      </c>
    </row>
    <row r="102" spans="1:6" x14ac:dyDescent="0.2">
      <c r="A102" s="17" t="s">
        <v>6</v>
      </c>
      <c r="B102" s="18">
        <v>46319</v>
      </c>
      <c r="C102" s="19">
        <v>0.75</v>
      </c>
      <c r="D102" s="19">
        <v>0.85416666666666696</v>
      </c>
      <c r="E102" s="17" t="s">
        <v>7</v>
      </c>
      <c r="F102" s="20">
        <v>4655053</v>
      </c>
    </row>
    <row r="103" spans="1:6" x14ac:dyDescent="0.2">
      <c r="A103" s="17" t="s">
        <v>6</v>
      </c>
      <c r="B103" s="18">
        <v>46319</v>
      </c>
      <c r="C103" s="19">
        <v>0.75</v>
      </c>
      <c r="D103" s="19">
        <v>0.85416666666666696</v>
      </c>
      <c r="E103" s="17" t="s">
        <v>7</v>
      </c>
      <c r="F103" s="20">
        <v>4662891</v>
      </c>
    </row>
    <row r="104" spans="1:6" x14ac:dyDescent="0.2">
      <c r="A104" s="17" t="s">
        <v>6</v>
      </c>
      <c r="B104" s="18">
        <v>46319</v>
      </c>
      <c r="C104" s="19">
        <v>0.75</v>
      </c>
      <c r="D104" s="19">
        <v>0.85416666666666696</v>
      </c>
      <c r="E104" s="17" t="s">
        <v>7</v>
      </c>
      <c r="F104" s="20">
        <v>4592954</v>
      </c>
    </row>
    <row r="105" spans="1:6" x14ac:dyDescent="0.2">
      <c r="A105" s="17" t="s">
        <v>6</v>
      </c>
      <c r="B105" s="18">
        <v>46319</v>
      </c>
      <c r="C105" s="19">
        <v>0.77083333333333304</v>
      </c>
      <c r="D105" s="19">
        <v>0.91666666666666696</v>
      </c>
      <c r="E105" s="17" t="s">
        <v>7</v>
      </c>
      <c r="F105" s="20">
        <v>4529491</v>
      </c>
    </row>
    <row r="106" spans="1:6" x14ac:dyDescent="0.2">
      <c r="A106" s="17" t="s">
        <v>6</v>
      </c>
      <c r="B106" s="18">
        <v>46319</v>
      </c>
      <c r="C106" s="19">
        <v>0.77083333333333304</v>
      </c>
      <c r="D106" s="19">
        <v>0.91666666666666696</v>
      </c>
      <c r="E106" s="17" t="s">
        <v>7</v>
      </c>
      <c r="F106" s="20">
        <v>4515532</v>
      </c>
    </row>
    <row r="107" spans="1:6" x14ac:dyDescent="0.2">
      <c r="A107" s="17" t="s">
        <v>6</v>
      </c>
      <c r="B107" s="18">
        <v>46319</v>
      </c>
      <c r="C107" s="19">
        <v>0.77083333333333304</v>
      </c>
      <c r="D107" s="19">
        <v>0.91666666666666696</v>
      </c>
      <c r="E107" s="17" t="s">
        <v>7</v>
      </c>
      <c r="F107" s="20">
        <v>4503602</v>
      </c>
    </row>
    <row r="108" spans="1:6" x14ac:dyDescent="0.2">
      <c r="A108" s="17" t="s">
        <v>6</v>
      </c>
      <c r="B108" s="18">
        <v>46319</v>
      </c>
      <c r="C108" s="19">
        <v>0.8125</v>
      </c>
      <c r="D108" s="19">
        <v>0.91666666666666696</v>
      </c>
      <c r="E108" s="17" t="s">
        <v>7</v>
      </c>
      <c r="F108" s="20">
        <v>4571713</v>
      </c>
    </row>
    <row r="109" spans="1:6" x14ac:dyDescent="0.2">
      <c r="A109" s="17" t="s">
        <v>6</v>
      </c>
      <c r="B109" s="18">
        <v>46319</v>
      </c>
      <c r="C109" s="19">
        <v>0.8125</v>
      </c>
      <c r="D109" s="19">
        <v>0.9375</v>
      </c>
      <c r="E109" s="17" t="s">
        <v>7</v>
      </c>
      <c r="F109" s="17">
        <v>4571710</v>
      </c>
    </row>
    <row r="110" spans="1:6" x14ac:dyDescent="0.2">
      <c r="A110" s="17" t="s">
        <v>6</v>
      </c>
      <c r="B110" s="18">
        <v>46319</v>
      </c>
      <c r="C110" s="19">
        <v>0.83333333333333304</v>
      </c>
      <c r="D110" s="19">
        <v>0.9375</v>
      </c>
      <c r="E110" s="17" t="s">
        <v>7</v>
      </c>
      <c r="F110" s="20">
        <v>4592955</v>
      </c>
    </row>
    <row r="111" spans="1:6" x14ac:dyDescent="0.2">
      <c r="A111" s="17" t="s">
        <v>6</v>
      </c>
      <c r="B111" s="18">
        <v>46319</v>
      </c>
      <c r="C111" s="19">
        <v>0.83333333333333304</v>
      </c>
      <c r="D111" s="19">
        <v>0.95833333333333304</v>
      </c>
      <c r="E111" s="17" t="s">
        <v>7</v>
      </c>
      <c r="F111" s="20">
        <v>4592956</v>
      </c>
    </row>
    <row r="112" spans="1:6" x14ac:dyDescent="0.2">
      <c r="A112" s="17" t="s">
        <v>6</v>
      </c>
      <c r="B112" s="18">
        <v>46319</v>
      </c>
      <c r="C112" s="19">
        <v>0.83333333333333304</v>
      </c>
      <c r="D112" s="19">
        <v>0.95833333333333304</v>
      </c>
      <c r="E112" s="17" t="s">
        <v>7</v>
      </c>
      <c r="F112" s="20">
        <v>4592958</v>
      </c>
    </row>
    <row r="113" spans="1:6" x14ac:dyDescent="0.2">
      <c r="A113" s="17" t="s">
        <v>6</v>
      </c>
      <c r="B113" s="18">
        <v>46319</v>
      </c>
      <c r="C113" s="19">
        <v>0.83333333333333304</v>
      </c>
      <c r="D113" s="19">
        <v>0.95833333333333304</v>
      </c>
      <c r="E113" s="17" t="s">
        <v>7</v>
      </c>
      <c r="F113" s="20">
        <v>4594875</v>
      </c>
    </row>
    <row r="114" spans="1:6" x14ac:dyDescent="0.2">
      <c r="A114" s="17" t="s">
        <v>6</v>
      </c>
      <c r="B114" s="18">
        <v>46319</v>
      </c>
      <c r="C114" s="19">
        <v>0.83333333333333304</v>
      </c>
      <c r="D114" s="19">
        <v>0.95833333333333304</v>
      </c>
      <c r="E114" s="17" t="s">
        <v>7</v>
      </c>
      <c r="F114" s="20">
        <v>4594878</v>
      </c>
    </row>
    <row r="115" spans="1:6" x14ac:dyDescent="0.2">
      <c r="A115" s="17" t="s">
        <v>6</v>
      </c>
      <c r="B115" s="18">
        <v>46319</v>
      </c>
      <c r="C115" s="19">
        <v>0.83333333333333304</v>
      </c>
      <c r="D115" s="19">
        <v>0.95833333333333304</v>
      </c>
      <c r="E115" s="17" t="s">
        <v>7</v>
      </c>
      <c r="F115" s="20">
        <v>4639813</v>
      </c>
    </row>
    <row r="116" spans="1:6" x14ac:dyDescent="0.2">
      <c r="A116" s="17" t="s">
        <v>6</v>
      </c>
      <c r="B116" s="18">
        <v>46319</v>
      </c>
      <c r="C116" s="19">
        <v>0.85416666666666696</v>
      </c>
      <c r="D116" s="19">
        <v>0.95833333333333304</v>
      </c>
      <c r="E116" s="17" t="s">
        <v>7</v>
      </c>
      <c r="F116" s="20">
        <v>4639814</v>
      </c>
    </row>
    <row r="117" spans="1:6" x14ac:dyDescent="0.2">
      <c r="A117" s="17" t="s">
        <v>6</v>
      </c>
      <c r="B117" s="18">
        <v>46319</v>
      </c>
      <c r="C117" s="19">
        <v>0.85416666666666696</v>
      </c>
      <c r="D117" s="19">
        <v>0.97916666666666696</v>
      </c>
      <c r="E117" s="17" t="s">
        <v>7</v>
      </c>
      <c r="F117" s="20">
        <v>4639815</v>
      </c>
    </row>
    <row r="118" spans="1:6" x14ac:dyDescent="0.2">
      <c r="A118" s="17" t="s">
        <v>6</v>
      </c>
      <c r="B118" s="18">
        <v>46319</v>
      </c>
      <c r="C118" s="19">
        <v>0.85416666666666696</v>
      </c>
      <c r="D118" s="19">
        <v>0.97916666666666696</v>
      </c>
      <c r="E118" s="17" t="s">
        <v>7</v>
      </c>
      <c r="F118" s="20">
        <v>4502586</v>
      </c>
    </row>
    <row r="119" spans="1:6" x14ac:dyDescent="0.2">
      <c r="A119" s="17" t="s">
        <v>6</v>
      </c>
      <c r="B119" s="18">
        <v>46319</v>
      </c>
      <c r="C119" s="19">
        <v>0.85416666666666696</v>
      </c>
      <c r="D119" s="19">
        <v>1</v>
      </c>
      <c r="E119" s="17" t="s">
        <v>7</v>
      </c>
      <c r="F119" s="20">
        <v>4687178</v>
      </c>
    </row>
    <row r="120" spans="1:6" x14ac:dyDescent="0.2">
      <c r="A120" s="17" t="s">
        <v>6</v>
      </c>
      <c r="B120" s="18">
        <v>46319</v>
      </c>
      <c r="C120" s="19">
        <v>0.85416666666666696</v>
      </c>
      <c r="D120" s="19">
        <v>1</v>
      </c>
      <c r="E120" s="17" t="s">
        <v>7</v>
      </c>
      <c r="F120" s="20">
        <v>4690296</v>
      </c>
    </row>
    <row r="121" spans="1:6" x14ac:dyDescent="0.2">
      <c r="A121" s="17" t="s">
        <v>6</v>
      </c>
      <c r="B121" s="18">
        <v>46320</v>
      </c>
      <c r="C121" s="19">
        <v>0.5</v>
      </c>
      <c r="D121" s="19">
        <v>0.72916666666666696</v>
      </c>
      <c r="E121" s="17" t="s">
        <v>7</v>
      </c>
      <c r="F121" s="20">
        <v>4515533</v>
      </c>
    </row>
    <row r="122" spans="1:6" x14ac:dyDescent="0.2">
      <c r="A122" s="17" t="s">
        <v>6</v>
      </c>
      <c r="B122" s="18">
        <v>46320</v>
      </c>
      <c r="C122" s="19">
        <v>0.5</v>
      </c>
      <c r="D122" s="19">
        <v>0.72916666666666696</v>
      </c>
      <c r="E122" s="17" t="s">
        <v>7</v>
      </c>
      <c r="F122" s="20">
        <v>4503209</v>
      </c>
    </row>
    <row r="123" spans="1:6" x14ac:dyDescent="0.2">
      <c r="A123" s="17" t="s">
        <v>6</v>
      </c>
      <c r="B123" s="18">
        <v>46320</v>
      </c>
      <c r="C123" s="19">
        <v>0.5</v>
      </c>
      <c r="D123" s="19">
        <v>0.60416666666666696</v>
      </c>
      <c r="E123" s="17" t="s">
        <v>7</v>
      </c>
      <c r="F123" s="20">
        <v>4503211</v>
      </c>
    </row>
    <row r="124" spans="1:6" x14ac:dyDescent="0.2">
      <c r="A124" s="17" t="s">
        <v>6</v>
      </c>
      <c r="B124" s="18">
        <v>46320</v>
      </c>
      <c r="C124" s="19">
        <v>0.52083333333333304</v>
      </c>
      <c r="D124" s="19">
        <v>0.60416666666666696</v>
      </c>
      <c r="E124" s="17" t="s">
        <v>7</v>
      </c>
      <c r="F124" s="20">
        <v>4503212</v>
      </c>
    </row>
    <row r="125" spans="1:6" x14ac:dyDescent="0.2">
      <c r="A125" s="17" t="s">
        <v>6</v>
      </c>
      <c r="B125" s="18">
        <v>46320</v>
      </c>
      <c r="C125" s="19">
        <v>0.54166666666666696</v>
      </c>
      <c r="D125" s="19">
        <v>0.72916666666666696</v>
      </c>
      <c r="E125" s="17" t="s">
        <v>7</v>
      </c>
      <c r="F125" s="20">
        <v>4503208</v>
      </c>
    </row>
    <row r="126" spans="1:6" x14ac:dyDescent="0.2">
      <c r="A126" s="17" t="s">
        <v>6</v>
      </c>
      <c r="B126" s="18">
        <v>46320</v>
      </c>
      <c r="C126" s="19">
        <v>0.54166666666666696</v>
      </c>
      <c r="D126" s="19">
        <v>0.66666666666666696</v>
      </c>
      <c r="E126" s="17" t="s">
        <v>7</v>
      </c>
      <c r="F126" s="20">
        <v>4571713</v>
      </c>
    </row>
    <row r="127" spans="1:6" x14ac:dyDescent="0.2">
      <c r="A127" s="17" t="s">
        <v>6</v>
      </c>
      <c r="B127" s="18">
        <v>46320</v>
      </c>
      <c r="C127" s="19">
        <v>0.54166666666666696</v>
      </c>
      <c r="D127" s="19">
        <v>0.66666666666666696</v>
      </c>
      <c r="E127" s="17" t="s">
        <v>7</v>
      </c>
      <c r="F127" s="20">
        <v>4592955</v>
      </c>
    </row>
    <row r="128" spans="1:6" x14ac:dyDescent="0.2">
      <c r="A128" s="17" t="s">
        <v>6</v>
      </c>
      <c r="B128" s="18">
        <v>46320</v>
      </c>
      <c r="C128" s="19">
        <v>0.54166666666666696</v>
      </c>
      <c r="D128" s="19">
        <v>0.66666666666666696</v>
      </c>
      <c r="E128" s="17" t="s">
        <v>7</v>
      </c>
      <c r="F128" s="20">
        <v>4503602</v>
      </c>
    </row>
    <row r="129" spans="1:6" x14ac:dyDescent="0.2">
      <c r="A129" s="17" t="s">
        <v>6</v>
      </c>
      <c r="B129" s="18">
        <v>46320</v>
      </c>
      <c r="C129" s="19">
        <v>0.54166666666666696</v>
      </c>
      <c r="D129" s="19">
        <v>0.66666666666666696</v>
      </c>
      <c r="E129" s="17" t="s">
        <v>7</v>
      </c>
      <c r="F129" s="20">
        <v>4515532</v>
      </c>
    </row>
    <row r="130" spans="1:6" x14ac:dyDescent="0.2">
      <c r="A130" s="17" t="s">
        <v>6</v>
      </c>
      <c r="B130" s="18">
        <v>46320</v>
      </c>
      <c r="C130" s="19">
        <v>0.54166666666666696</v>
      </c>
      <c r="D130" s="19">
        <v>0.64583333333333304</v>
      </c>
      <c r="E130" s="17" t="s">
        <v>7</v>
      </c>
      <c r="F130" s="20">
        <v>4592956</v>
      </c>
    </row>
    <row r="131" spans="1:6" x14ac:dyDescent="0.2">
      <c r="A131" s="17" t="s">
        <v>6</v>
      </c>
      <c r="B131" s="18">
        <v>46320</v>
      </c>
      <c r="C131" s="19">
        <v>0.54166666666666696</v>
      </c>
      <c r="D131" s="19">
        <v>0.625</v>
      </c>
      <c r="E131" s="17" t="s">
        <v>7</v>
      </c>
      <c r="F131" s="20">
        <v>4592958</v>
      </c>
    </row>
    <row r="132" spans="1:6" x14ac:dyDescent="0.2">
      <c r="A132" s="17" t="s">
        <v>6</v>
      </c>
      <c r="B132" s="18">
        <v>46320</v>
      </c>
      <c r="C132" s="19">
        <v>0.5625</v>
      </c>
      <c r="D132" s="19">
        <v>0.72916666666666696</v>
      </c>
      <c r="E132" s="17" t="s">
        <v>7</v>
      </c>
      <c r="F132" s="20">
        <v>4687178</v>
      </c>
    </row>
    <row r="133" spans="1:6" x14ac:dyDescent="0.2">
      <c r="A133" s="17" t="s">
        <v>6</v>
      </c>
      <c r="B133" s="18">
        <v>46320</v>
      </c>
      <c r="C133" s="19">
        <v>0.5625</v>
      </c>
      <c r="D133" s="19">
        <v>0.72916666666666696</v>
      </c>
      <c r="E133" s="17" t="s">
        <v>7</v>
      </c>
      <c r="F133" s="20">
        <v>4690296</v>
      </c>
    </row>
    <row r="134" spans="1:6" x14ac:dyDescent="0.2">
      <c r="A134" s="17" t="s">
        <v>6</v>
      </c>
      <c r="B134" s="18">
        <v>46320</v>
      </c>
      <c r="C134" s="19">
        <v>0.72916666666666696</v>
      </c>
      <c r="D134" s="19">
        <v>0.875</v>
      </c>
      <c r="E134" s="17" t="s">
        <v>7</v>
      </c>
      <c r="F134" s="20">
        <v>4503212</v>
      </c>
    </row>
    <row r="135" spans="1:6" x14ac:dyDescent="0.2">
      <c r="A135" s="17" t="s">
        <v>6</v>
      </c>
      <c r="B135" s="18">
        <v>46320</v>
      </c>
      <c r="C135" s="19">
        <v>0.72916666666666696</v>
      </c>
      <c r="D135" s="19">
        <v>0.875</v>
      </c>
      <c r="E135" s="17" t="s">
        <v>7</v>
      </c>
      <c r="F135" s="20">
        <v>4639813</v>
      </c>
    </row>
    <row r="136" spans="1:6" x14ac:dyDescent="0.2">
      <c r="A136" s="17" t="s">
        <v>6</v>
      </c>
      <c r="B136" s="18">
        <v>46320</v>
      </c>
      <c r="C136" s="19">
        <v>0.72916666666666696</v>
      </c>
      <c r="D136" s="19">
        <v>0.875</v>
      </c>
      <c r="E136" s="17" t="s">
        <v>7</v>
      </c>
      <c r="F136" s="20">
        <v>4503602</v>
      </c>
    </row>
    <row r="137" spans="1:6" x14ac:dyDescent="0.2">
      <c r="A137" s="17" t="s">
        <v>6</v>
      </c>
      <c r="B137" s="18">
        <v>46320</v>
      </c>
      <c r="C137" s="19">
        <v>0.72916666666666696</v>
      </c>
      <c r="D137" s="19">
        <v>0.875</v>
      </c>
      <c r="E137" s="17" t="s">
        <v>7</v>
      </c>
      <c r="F137" s="20">
        <v>4515532</v>
      </c>
    </row>
    <row r="138" spans="1:6" x14ac:dyDescent="0.2">
      <c r="A138" s="17" t="s">
        <v>6</v>
      </c>
      <c r="B138" s="18">
        <v>46320</v>
      </c>
      <c r="C138" s="19">
        <v>0.72916666666666696</v>
      </c>
      <c r="D138" s="19">
        <v>0.91666666666666696</v>
      </c>
      <c r="E138" s="17" t="s">
        <v>7</v>
      </c>
      <c r="F138" s="20">
        <v>4502586</v>
      </c>
    </row>
    <row r="139" spans="1:6" x14ac:dyDescent="0.2">
      <c r="A139" s="17" t="s">
        <v>6</v>
      </c>
      <c r="B139" s="18">
        <v>46320</v>
      </c>
      <c r="C139" s="19">
        <v>0.72916666666666696</v>
      </c>
      <c r="D139" s="19">
        <v>0.91666666666666696</v>
      </c>
      <c r="E139" s="17" t="s">
        <v>7</v>
      </c>
      <c r="F139" s="20">
        <v>4592956</v>
      </c>
    </row>
    <row r="140" spans="1:6" x14ac:dyDescent="0.2">
      <c r="A140" s="17" t="s">
        <v>6</v>
      </c>
      <c r="B140" s="18">
        <v>46320</v>
      </c>
      <c r="C140" s="19">
        <v>0.72916666666666696</v>
      </c>
      <c r="D140" s="19">
        <v>0.9375</v>
      </c>
      <c r="E140" s="17" t="s">
        <v>7</v>
      </c>
      <c r="F140" s="20">
        <v>4592958</v>
      </c>
    </row>
    <row r="141" spans="1:6" x14ac:dyDescent="0.2">
      <c r="A141" s="17" t="s">
        <v>6</v>
      </c>
      <c r="B141" s="18">
        <v>46320</v>
      </c>
      <c r="C141" s="19">
        <v>0.72916666666666696</v>
      </c>
      <c r="D141" s="19">
        <v>0.9375</v>
      </c>
      <c r="E141" s="17" t="s">
        <v>7</v>
      </c>
      <c r="F141" s="20">
        <v>4594875</v>
      </c>
    </row>
    <row r="142" spans="1:6" x14ac:dyDescent="0.2">
      <c r="A142" s="17" t="s">
        <v>6</v>
      </c>
      <c r="B142" s="18">
        <v>46320</v>
      </c>
      <c r="C142" s="19">
        <v>0.79166666666666696</v>
      </c>
      <c r="D142" s="19">
        <v>0.9375</v>
      </c>
      <c r="E142" s="17" t="s">
        <v>7</v>
      </c>
      <c r="F142" s="20">
        <v>4594878</v>
      </c>
    </row>
    <row r="143" spans="1:6" x14ac:dyDescent="0.2">
      <c r="A143" s="17" t="s">
        <v>6</v>
      </c>
      <c r="B143" s="18">
        <v>46320</v>
      </c>
      <c r="C143" s="19">
        <v>0.79166666666666696</v>
      </c>
      <c r="D143" s="19">
        <v>0.9375</v>
      </c>
      <c r="E143" s="17" t="s">
        <v>7</v>
      </c>
      <c r="F143" s="20">
        <v>4529491</v>
      </c>
    </row>
    <row r="144" spans="1:6" x14ac:dyDescent="0.2">
      <c r="A144" s="17" t="s">
        <v>6</v>
      </c>
      <c r="B144" s="18">
        <v>46320</v>
      </c>
      <c r="C144" s="19">
        <v>0.79166666666666696</v>
      </c>
      <c r="D144" s="19">
        <v>0.9375</v>
      </c>
      <c r="E144" s="17" t="s">
        <v>7</v>
      </c>
      <c r="F144" s="20">
        <v>4555685</v>
      </c>
    </row>
    <row r="145" spans="1:6" x14ac:dyDescent="0.2">
      <c r="A145" s="17" t="s">
        <v>6</v>
      </c>
      <c r="B145" s="18">
        <v>46320</v>
      </c>
      <c r="C145" s="19">
        <v>0.8125</v>
      </c>
      <c r="D145" s="19">
        <v>0.9375</v>
      </c>
      <c r="E145" s="17" t="s">
        <v>7</v>
      </c>
      <c r="F145" s="20">
        <v>4571713</v>
      </c>
    </row>
    <row r="146" spans="1:6" x14ac:dyDescent="0.2">
      <c r="A146" s="17" t="s">
        <v>6</v>
      </c>
      <c r="B146" s="18">
        <v>46320</v>
      </c>
      <c r="C146" s="19">
        <v>0.8125</v>
      </c>
      <c r="D146" s="19">
        <v>0.95833333333333304</v>
      </c>
      <c r="E146" s="17" t="s">
        <v>7</v>
      </c>
      <c r="F146" s="20">
        <v>4592954</v>
      </c>
    </row>
    <row r="147" spans="1:6" x14ac:dyDescent="0.2">
      <c r="A147" s="17" t="s">
        <v>6</v>
      </c>
      <c r="B147" s="18">
        <v>46320</v>
      </c>
      <c r="C147" s="19">
        <v>0.83333333333333304</v>
      </c>
      <c r="D147" s="19">
        <v>0.95833333333333304</v>
      </c>
      <c r="E147" s="17" t="s">
        <v>7</v>
      </c>
      <c r="F147" s="20">
        <v>4592955</v>
      </c>
    </row>
    <row r="148" spans="1:6" x14ac:dyDescent="0.2">
      <c r="A148" s="17" t="s">
        <v>6</v>
      </c>
      <c r="B148" s="18">
        <v>46320</v>
      </c>
      <c r="C148" s="19">
        <v>0.83333333333333304</v>
      </c>
      <c r="D148" s="19">
        <v>0.95833333333333304</v>
      </c>
      <c r="E148" s="17" t="s">
        <v>7</v>
      </c>
      <c r="F148" s="20">
        <v>4639814</v>
      </c>
    </row>
    <row r="149" spans="1:6" x14ac:dyDescent="0.2">
      <c r="A149" s="17" t="s">
        <v>6</v>
      </c>
      <c r="B149" s="18">
        <v>46320</v>
      </c>
      <c r="C149" s="19">
        <v>0.83333333333333304</v>
      </c>
      <c r="D149" s="19">
        <v>0.95833333333333304</v>
      </c>
      <c r="E149" s="17" t="s">
        <v>7</v>
      </c>
      <c r="F149" s="20">
        <v>4639815</v>
      </c>
    </row>
    <row r="150" spans="1:6" x14ac:dyDescent="0.2">
      <c r="A150" s="17" t="s">
        <v>6</v>
      </c>
      <c r="B150" s="18">
        <v>46320</v>
      </c>
      <c r="C150" s="19">
        <v>0.83333333333333304</v>
      </c>
      <c r="D150" s="19">
        <v>0.95833333333333304</v>
      </c>
      <c r="E150" s="17" t="s">
        <v>7</v>
      </c>
      <c r="F150" s="20">
        <v>4655053</v>
      </c>
    </row>
    <row r="151" spans="1:6" x14ac:dyDescent="0.2">
      <c r="A151" s="17" t="s">
        <v>6</v>
      </c>
      <c r="B151" s="18">
        <v>46320</v>
      </c>
      <c r="C151" s="19">
        <v>0.83333333333333304</v>
      </c>
      <c r="D151" s="19">
        <v>0.97916666666666696</v>
      </c>
      <c r="E151" s="17" t="s">
        <v>7</v>
      </c>
      <c r="F151" s="17">
        <v>4571710</v>
      </c>
    </row>
    <row r="152" spans="1:6" x14ac:dyDescent="0.2">
      <c r="A152" s="17" t="s">
        <v>6</v>
      </c>
      <c r="B152" s="18">
        <v>46320</v>
      </c>
      <c r="C152" s="19">
        <v>0.83333333333333304</v>
      </c>
      <c r="D152" s="19">
        <v>1</v>
      </c>
      <c r="E152" s="17" t="s">
        <v>7</v>
      </c>
      <c r="F152" s="20">
        <v>4503208</v>
      </c>
    </row>
    <row r="153" spans="1:6" x14ac:dyDescent="0.2">
      <c r="A153" s="17" t="s">
        <v>6</v>
      </c>
      <c r="B153" s="18">
        <v>46320</v>
      </c>
      <c r="C153" s="19">
        <v>0.83333333333333304</v>
      </c>
      <c r="D153" s="19">
        <v>1</v>
      </c>
      <c r="E153" s="17" t="s">
        <v>7</v>
      </c>
      <c r="F153" s="20">
        <v>4503211</v>
      </c>
    </row>
  </sheetData>
  <autoFilter ref="A1:F14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9:L37"/>
  <sheetViews>
    <sheetView topLeftCell="A5" workbookViewId="0">
      <selection activeCell="E37" sqref="E37"/>
    </sheetView>
  </sheetViews>
  <sheetFormatPr baseColWidth="10" defaultColWidth="8.83203125" defaultRowHeight="15" x14ac:dyDescent="0.2"/>
  <cols>
    <col min="5" max="5" width="13" customWidth="1"/>
    <col min="11" max="11" width="19.83203125" customWidth="1"/>
  </cols>
  <sheetData>
    <row r="9" spans="2:12" x14ac:dyDescent="0.2">
      <c r="B9" s="1">
        <v>1</v>
      </c>
      <c r="C9" s="2">
        <v>4502586</v>
      </c>
      <c r="D9" s="3" t="s">
        <v>8</v>
      </c>
      <c r="E9" s="3"/>
      <c r="F9" s="3" t="e">
        <f>SUMIF('MushDrink Glovo 1910 AL 2510'!F2:F153,C9,'MushDrink Glovo 1910 AL 2510'!#REF!)</f>
        <v>#REF!</v>
      </c>
      <c r="G9" s="3">
        <v>40</v>
      </c>
      <c r="H9" s="4" t="e">
        <f t="shared" ref="H9:H21" si="0">+F9-G9</f>
        <v>#REF!</v>
      </c>
      <c r="K9" s="5" t="s">
        <v>8</v>
      </c>
      <c r="L9" s="6">
        <v>4502586</v>
      </c>
    </row>
    <row r="10" spans="2:12" x14ac:dyDescent="0.2">
      <c r="B10" s="1">
        <v>2</v>
      </c>
      <c r="C10" s="2">
        <v>4503208</v>
      </c>
      <c r="D10" s="3" t="s">
        <v>9</v>
      </c>
      <c r="E10" s="3"/>
      <c r="F10" s="3" t="e">
        <f>SUMIF('MushDrink Glovo 1910 AL 2510'!F2:F153,C10,'MushDrink Glovo 1910 AL 2510'!#REF!)</f>
        <v>#REF!</v>
      </c>
      <c r="G10" s="3">
        <v>40</v>
      </c>
      <c r="H10" s="4" t="e">
        <f t="shared" si="0"/>
        <v>#REF!</v>
      </c>
      <c r="K10" s="5" t="s">
        <v>9</v>
      </c>
      <c r="L10" s="6">
        <v>4503208</v>
      </c>
    </row>
    <row r="11" spans="2:12" x14ac:dyDescent="0.2">
      <c r="B11" s="1">
        <v>3</v>
      </c>
      <c r="C11" s="2">
        <v>4503209</v>
      </c>
      <c r="D11" s="3" t="s">
        <v>10</v>
      </c>
      <c r="E11" s="3"/>
      <c r="F11" s="3" t="e">
        <f>SUMIF('MushDrink Glovo 1910 AL 2510'!F2:F153,C11,'MushDrink Glovo 1910 AL 2510'!#REF!)</f>
        <v>#REF!</v>
      </c>
      <c r="G11" s="3">
        <v>40</v>
      </c>
      <c r="H11" s="4" t="e">
        <f t="shared" si="0"/>
        <v>#REF!</v>
      </c>
      <c r="K11" s="5" t="s">
        <v>10</v>
      </c>
      <c r="L11" s="6">
        <v>4503209</v>
      </c>
    </row>
    <row r="12" spans="2:12" x14ac:dyDescent="0.2">
      <c r="B12" s="1">
        <v>4</v>
      </c>
      <c r="C12" s="2">
        <v>4503211</v>
      </c>
      <c r="D12" s="3" t="s">
        <v>11</v>
      </c>
      <c r="E12" s="3"/>
      <c r="F12" s="3" t="e">
        <f>SUMIF('MushDrink Glovo 1910 AL 2510'!F2:F153,C12,'MushDrink Glovo 1910 AL 2510'!#REF!)</f>
        <v>#REF!</v>
      </c>
      <c r="G12" s="3">
        <v>40</v>
      </c>
      <c r="H12" s="4" t="e">
        <f t="shared" si="0"/>
        <v>#REF!</v>
      </c>
      <c r="K12" s="5" t="s">
        <v>11</v>
      </c>
      <c r="L12" s="6">
        <v>4503211</v>
      </c>
    </row>
    <row r="13" spans="2:12" x14ac:dyDescent="0.2">
      <c r="B13" s="1">
        <v>5</v>
      </c>
      <c r="C13" s="2">
        <v>4503212</v>
      </c>
      <c r="D13" s="3" t="s">
        <v>12</v>
      </c>
      <c r="E13" s="3"/>
      <c r="F13" s="3" t="e">
        <f>SUMIF('MushDrink Glovo 1910 AL 2510'!F2:F153,C13,'MushDrink Glovo 1910 AL 2510'!#REF!)</f>
        <v>#REF!</v>
      </c>
      <c r="G13" s="3">
        <v>40</v>
      </c>
      <c r="H13" s="4" t="e">
        <f t="shared" si="0"/>
        <v>#REF!</v>
      </c>
      <c r="K13" s="5" t="s">
        <v>12</v>
      </c>
      <c r="L13" s="6">
        <v>4503212</v>
      </c>
    </row>
    <row r="14" spans="2:12" x14ac:dyDescent="0.2">
      <c r="B14" s="1">
        <v>6</v>
      </c>
      <c r="C14" s="2">
        <v>4503602</v>
      </c>
      <c r="D14" s="3" t="s">
        <v>13</v>
      </c>
      <c r="E14" s="3"/>
      <c r="F14" s="3" t="e">
        <f>SUMIF('MushDrink Glovo 1910 AL 2510'!F2:F153,C14,'MushDrink Glovo 1910 AL 2510'!#REF!)</f>
        <v>#REF!</v>
      </c>
      <c r="G14" s="3">
        <v>40</v>
      </c>
      <c r="H14" s="4" t="e">
        <f t="shared" si="0"/>
        <v>#REF!</v>
      </c>
      <c r="K14" s="5" t="s">
        <v>13</v>
      </c>
      <c r="L14" s="6">
        <v>4503602</v>
      </c>
    </row>
    <row r="15" spans="2:12" x14ac:dyDescent="0.2">
      <c r="B15" s="1">
        <v>7</v>
      </c>
      <c r="C15" s="2">
        <v>4515532</v>
      </c>
      <c r="D15" s="3" t="s">
        <v>14</v>
      </c>
      <c r="E15" s="3"/>
      <c r="F15" s="3" t="e">
        <f>SUMIF('MushDrink Glovo 1910 AL 2510'!F2:F153,C15,'MushDrink Glovo 1910 AL 2510'!#REF!)</f>
        <v>#REF!</v>
      </c>
      <c r="G15" s="3">
        <v>40</v>
      </c>
      <c r="H15" s="4" t="e">
        <f t="shared" si="0"/>
        <v>#REF!</v>
      </c>
      <c r="K15" s="5" t="s">
        <v>14</v>
      </c>
      <c r="L15" s="6">
        <v>4515532</v>
      </c>
    </row>
    <row r="16" spans="2:12" x14ac:dyDescent="0.2">
      <c r="B16" s="1">
        <v>8</v>
      </c>
      <c r="C16" s="2">
        <v>4515533</v>
      </c>
      <c r="D16" s="3" t="s">
        <v>15</v>
      </c>
      <c r="E16" s="3"/>
      <c r="F16" s="3" t="e">
        <f>SUMIF('MushDrink Glovo 1910 AL 2510'!F2:F153,C16,'MushDrink Glovo 1910 AL 2510'!#REF!)</f>
        <v>#REF!</v>
      </c>
      <c r="G16" s="3">
        <v>40</v>
      </c>
      <c r="H16" s="4" t="e">
        <f t="shared" si="0"/>
        <v>#REF!</v>
      </c>
      <c r="K16" s="5" t="s">
        <v>15</v>
      </c>
      <c r="L16" s="6">
        <v>4515533</v>
      </c>
    </row>
    <row r="17" spans="2:12" x14ac:dyDescent="0.2">
      <c r="B17" s="1">
        <v>9</v>
      </c>
      <c r="C17" s="2">
        <v>4529491</v>
      </c>
      <c r="D17" s="3" t="s">
        <v>16</v>
      </c>
      <c r="E17" s="3"/>
      <c r="F17" s="3" t="e">
        <f>SUMIF('MushDrink Glovo 1910 AL 2510'!F2:F153,C17,'MushDrink Glovo 1910 AL 2510'!#REF!)</f>
        <v>#REF!</v>
      </c>
      <c r="G17" s="3">
        <v>30</v>
      </c>
      <c r="H17" s="4" t="e">
        <f t="shared" si="0"/>
        <v>#REF!</v>
      </c>
      <c r="K17" s="5" t="s">
        <v>16</v>
      </c>
      <c r="L17" s="6">
        <v>4529491</v>
      </c>
    </row>
    <row r="18" spans="2:12" x14ac:dyDescent="0.2">
      <c r="B18" s="1">
        <v>10</v>
      </c>
      <c r="C18" s="2">
        <v>4555685</v>
      </c>
      <c r="D18" s="3" t="s">
        <v>17</v>
      </c>
      <c r="E18" s="3"/>
      <c r="F18" s="3" t="e">
        <f>SUMIF('MushDrink Glovo 1910 AL 2510'!F2:F153,C18,'MushDrink Glovo 1910 AL 2510'!#REF!)</f>
        <v>#REF!</v>
      </c>
      <c r="G18" s="3">
        <v>30</v>
      </c>
      <c r="H18" s="4" t="e">
        <f t="shared" si="0"/>
        <v>#REF!</v>
      </c>
      <c r="K18" s="5" t="s">
        <v>17</v>
      </c>
      <c r="L18" s="6">
        <v>4555685</v>
      </c>
    </row>
    <row r="19" spans="2:12" x14ac:dyDescent="0.2">
      <c r="B19" s="1">
        <v>11</v>
      </c>
      <c r="C19" s="3">
        <v>4571710</v>
      </c>
      <c r="D19" s="3" t="s">
        <v>18</v>
      </c>
      <c r="E19" s="3"/>
      <c r="F19" s="3" t="e">
        <f>SUMIF('MushDrink Glovo 1910 AL 2510'!F2:F153,C19,'MushDrink Glovo 1910 AL 2510'!#REF!)</f>
        <v>#REF!</v>
      </c>
      <c r="G19" s="3">
        <v>30</v>
      </c>
      <c r="H19" s="4" t="e">
        <f t="shared" si="0"/>
        <v>#REF!</v>
      </c>
      <c r="K19" s="5" t="s">
        <v>19</v>
      </c>
      <c r="L19" s="5">
        <v>4571710</v>
      </c>
    </row>
    <row r="20" spans="2:12" x14ac:dyDescent="0.2">
      <c r="B20" s="1">
        <v>12</v>
      </c>
      <c r="C20" s="2">
        <v>4571713</v>
      </c>
      <c r="D20" s="7" t="s">
        <v>20</v>
      </c>
      <c r="E20" s="7"/>
      <c r="F20" s="7" t="e">
        <f>SUMIF('MushDrink Glovo 1910 AL 2510'!F2:F153,C20,'MushDrink Glovo 1910 AL 2510'!#REF!)</f>
        <v>#REF!</v>
      </c>
      <c r="G20" s="7">
        <v>30</v>
      </c>
      <c r="H20" s="7" t="e">
        <f t="shared" si="0"/>
        <v>#REF!</v>
      </c>
      <c r="K20" s="5" t="s">
        <v>20</v>
      </c>
      <c r="L20" s="6">
        <v>4571713</v>
      </c>
    </row>
    <row r="21" spans="2:12" x14ac:dyDescent="0.2">
      <c r="B21" s="1">
        <v>13</v>
      </c>
      <c r="C21" s="2">
        <v>4592954</v>
      </c>
      <c r="D21" s="3" t="s">
        <v>21</v>
      </c>
      <c r="E21" s="3"/>
      <c r="F21" s="3" t="e">
        <f>SUMIF('MushDrink Glovo 1910 AL 2510'!F2:F153,C21,'MushDrink Glovo 1910 AL 2510'!#REF!)</f>
        <v>#REF!</v>
      </c>
      <c r="G21" s="3">
        <v>20</v>
      </c>
      <c r="H21" s="4" t="e">
        <f t="shared" si="0"/>
        <v>#REF!</v>
      </c>
      <c r="K21" s="5" t="s">
        <v>21</v>
      </c>
      <c r="L21" s="6">
        <v>4592954</v>
      </c>
    </row>
    <row r="22" spans="2:12" x14ac:dyDescent="0.2">
      <c r="B22" s="1">
        <v>14</v>
      </c>
      <c r="C22" s="2">
        <v>4592955</v>
      </c>
      <c r="D22" s="3" t="s">
        <v>22</v>
      </c>
      <c r="E22" s="3"/>
      <c r="F22" s="3" t="e">
        <f>SUMIF('MushDrink Glovo 1910 AL 2510'!F2:F153,C22,'MushDrink Glovo 1910 AL 2510'!#REF!)</f>
        <v>#REF!</v>
      </c>
      <c r="G22" s="3">
        <v>20</v>
      </c>
      <c r="H22" s="7" t="e">
        <f t="shared" ref="H22:H33" si="1">+F22-G22</f>
        <v>#REF!</v>
      </c>
      <c r="K22" s="8" t="s">
        <v>23</v>
      </c>
      <c r="L22" s="9">
        <v>4592955</v>
      </c>
    </row>
    <row r="23" spans="2:12" x14ac:dyDescent="0.2">
      <c r="B23" s="1">
        <v>15</v>
      </c>
      <c r="C23" s="2">
        <v>4592956</v>
      </c>
      <c r="D23" s="3" t="s">
        <v>24</v>
      </c>
      <c r="E23" s="3"/>
      <c r="F23" s="3" t="e">
        <f>SUMIF('MushDrink Glovo 1910 AL 2510'!F2:F153,C23,'MushDrink Glovo 1910 AL 2510'!#REF!)</f>
        <v>#REF!</v>
      </c>
      <c r="G23" s="3">
        <v>20</v>
      </c>
      <c r="H23" s="4" t="e">
        <f t="shared" si="1"/>
        <v>#REF!</v>
      </c>
      <c r="K23" s="5" t="s">
        <v>24</v>
      </c>
      <c r="L23" s="6">
        <v>4592956</v>
      </c>
    </row>
    <row r="24" spans="2:12" x14ac:dyDescent="0.2">
      <c r="B24" s="1">
        <v>16</v>
      </c>
      <c r="C24" s="2">
        <v>4592958</v>
      </c>
      <c r="D24" s="10" t="s">
        <v>25</v>
      </c>
      <c r="E24" s="3"/>
      <c r="F24" s="3" t="e">
        <f>SUMIF('MushDrink Glovo 1910 AL 2510'!F2:F153,C24,'MushDrink Glovo 1910 AL 2510'!#REF!)</f>
        <v>#REF!</v>
      </c>
      <c r="G24" s="3">
        <v>20</v>
      </c>
      <c r="H24" s="4" t="e">
        <f t="shared" si="1"/>
        <v>#REF!</v>
      </c>
      <c r="K24" s="11" t="s">
        <v>25</v>
      </c>
      <c r="L24" s="9">
        <v>4592958</v>
      </c>
    </row>
    <row r="25" spans="2:12" x14ac:dyDescent="0.2">
      <c r="B25" s="1">
        <v>17</v>
      </c>
      <c r="C25" s="2">
        <v>4594875</v>
      </c>
      <c r="D25" s="10" t="s">
        <v>26</v>
      </c>
      <c r="E25" s="3"/>
      <c r="F25" s="3" t="e">
        <f>SUMIF('MushDrink Glovo 1910 AL 2510'!F2:F153,C25,'MushDrink Glovo 1910 AL 2510'!#REF!)</f>
        <v>#REF!</v>
      </c>
      <c r="G25" s="3">
        <v>20</v>
      </c>
      <c r="H25" s="4" t="e">
        <f t="shared" si="1"/>
        <v>#REF!</v>
      </c>
      <c r="K25" s="5" t="s">
        <v>26</v>
      </c>
      <c r="L25" s="6">
        <v>4594875</v>
      </c>
    </row>
    <row r="26" spans="2:12" x14ac:dyDescent="0.2">
      <c r="B26" s="1">
        <v>18</v>
      </c>
      <c r="C26" s="2">
        <v>4594878</v>
      </c>
      <c r="D26" s="12" t="s">
        <v>27</v>
      </c>
      <c r="E26" s="12"/>
      <c r="F26" s="12" t="e">
        <f>SUMIF('MushDrink Glovo 1910 AL 2510'!F2:F153,C26,'MushDrink Glovo 1910 AL 2510'!#REF!)</f>
        <v>#REF!</v>
      </c>
      <c r="G26" s="12">
        <v>20</v>
      </c>
      <c r="H26" s="4" t="e">
        <f t="shared" si="1"/>
        <v>#REF!</v>
      </c>
      <c r="K26" s="5" t="s">
        <v>28</v>
      </c>
      <c r="L26" s="6">
        <v>4594878</v>
      </c>
    </row>
    <row r="27" spans="2:12" x14ac:dyDescent="0.2">
      <c r="B27" s="1">
        <v>19</v>
      </c>
      <c r="C27" s="2">
        <v>4639813</v>
      </c>
      <c r="D27" s="12" t="s">
        <v>29</v>
      </c>
      <c r="E27" s="12"/>
      <c r="F27" s="12" t="e">
        <f>SUMIF('MushDrink Glovo 1910 AL 2510'!F2:F153,C27,'MushDrink Glovo 1910 AL 2510'!#REF!)</f>
        <v>#REF!</v>
      </c>
      <c r="G27" s="12">
        <v>20</v>
      </c>
      <c r="H27" s="4" t="e">
        <f t="shared" si="1"/>
        <v>#REF!</v>
      </c>
      <c r="K27" s="13" t="s">
        <v>29</v>
      </c>
      <c r="L27" s="9">
        <v>4639813</v>
      </c>
    </row>
    <row r="28" spans="2:12" x14ac:dyDescent="0.2">
      <c r="B28" s="1">
        <v>20</v>
      </c>
      <c r="C28" s="2">
        <v>4639814</v>
      </c>
      <c r="D28" t="s">
        <v>30</v>
      </c>
      <c r="E28" s="12"/>
      <c r="F28" s="12" t="e">
        <f>SUMIF('MushDrink Glovo 1910 AL 2510'!F2:F153,C28,'MushDrink Glovo 1910 AL 2510'!#REF!)</f>
        <v>#REF!</v>
      </c>
      <c r="G28" s="12">
        <v>20</v>
      </c>
      <c r="H28" s="4" t="e">
        <f t="shared" si="1"/>
        <v>#REF!</v>
      </c>
      <c r="K28" t="s">
        <v>30</v>
      </c>
      <c r="L28" s="14">
        <v>4639814</v>
      </c>
    </row>
    <row r="29" spans="2:12" x14ac:dyDescent="0.2">
      <c r="B29" s="1">
        <v>21</v>
      </c>
      <c r="C29" s="2">
        <v>4639815</v>
      </c>
      <c r="D29" s="12" t="s">
        <v>31</v>
      </c>
      <c r="E29" s="12"/>
      <c r="F29" s="12" t="e">
        <f>SUMIF('MushDrink Glovo 1910 AL 2510'!F2:F153,C29,'MushDrink Glovo 1910 AL 2510'!#REF!)</f>
        <v>#REF!</v>
      </c>
      <c r="G29" s="12">
        <v>20</v>
      </c>
      <c r="H29" s="4" t="e">
        <f t="shared" si="1"/>
        <v>#REF!</v>
      </c>
      <c r="K29" s="11" t="s">
        <v>31</v>
      </c>
      <c r="L29" s="9">
        <v>4639815</v>
      </c>
    </row>
    <row r="30" spans="2:12" x14ac:dyDescent="0.2">
      <c r="B30" s="1">
        <v>22</v>
      </c>
      <c r="C30" s="2">
        <v>4655053</v>
      </c>
      <c r="D30" s="12" t="s">
        <v>32</v>
      </c>
      <c r="E30" s="12"/>
      <c r="F30" s="12" t="e">
        <f>SUMIF('MushDrink Glovo 1910 AL 2510'!F2:F153,C30,'MushDrink Glovo 1910 AL 2510'!#REF!)</f>
        <v>#REF!</v>
      </c>
      <c r="G30" s="12">
        <v>30</v>
      </c>
      <c r="H30" s="4" t="e">
        <f t="shared" si="1"/>
        <v>#REF!</v>
      </c>
      <c r="K30" s="11" t="s">
        <v>32</v>
      </c>
      <c r="L30" s="9">
        <v>4655053</v>
      </c>
    </row>
    <row r="31" spans="2:12" x14ac:dyDescent="0.2">
      <c r="B31" s="1">
        <v>23</v>
      </c>
      <c r="C31" s="2">
        <v>4662891</v>
      </c>
      <c r="D31" s="12" t="s">
        <v>33</v>
      </c>
      <c r="E31" s="12"/>
      <c r="F31" s="12" t="e">
        <f>SUMIF('MushDrink Glovo 1910 AL 2510'!F2:F153,C31,'MushDrink Glovo 1910 AL 2510'!#REF!)</f>
        <v>#REF!</v>
      </c>
      <c r="G31" s="12">
        <v>20</v>
      </c>
      <c r="H31" s="4" t="e">
        <f t="shared" si="1"/>
        <v>#REF!</v>
      </c>
      <c r="K31" s="8" t="s">
        <v>33</v>
      </c>
      <c r="L31" s="9">
        <v>4662891</v>
      </c>
    </row>
    <row r="32" spans="2:12" x14ac:dyDescent="0.2">
      <c r="B32" s="1">
        <v>24</v>
      </c>
      <c r="C32" s="2">
        <v>4687178</v>
      </c>
      <c r="D32" s="12" t="s">
        <v>34</v>
      </c>
      <c r="E32" s="12"/>
      <c r="F32" s="12" t="e">
        <f>SUMIF('MushDrink Glovo 1910 AL 2510'!F2:F153,C32,'MushDrink Glovo 1910 AL 2510'!#REF!)</f>
        <v>#REF!</v>
      </c>
      <c r="G32" s="12">
        <v>20</v>
      </c>
      <c r="H32" s="4" t="e">
        <f t="shared" si="1"/>
        <v>#REF!</v>
      </c>
      <c r="K32" s="11" t="s">
        <v>34</v>
      </c>
      <c r="L32" s="9">
        <v>4687178</v>
      </c>
    </row>
    <row r="33" spans="2:12" x14ac:dyDescent="0.2">
      <c r="B33" s="1">
        <v>25</v>
      </c>
      <c r="C33" s="2">
        <v>4690296</v>
      </c>
      <c r="D33" s="12" t="s">
        <v>35</v>
      </c>
      <c r="E33" s="12"/>
      <c r="F33" s="12" t="e">
        <f>SUMIF('MushDrink Glovo 1910 AL 2510'!F2:F153,C33,'MushDrink Glovo 1910 AL 2510'!#REF!)</f>
        <v>#REF!</v>
      </c>
      <c r="G33" s="12">
        <v>30</v>
      </c>
      <c r="H33" s="4" t="e">
        <f t="shared" si="1"/>
        <v>#REF!</v>
      </c>
      <c r="K33" s="11" t="s">
        <v>35</v>
      </c>
      <c r="L33" s="9">
        <v>4690296</v>
      </c>
    </row>
    <row r="34" spans="2:12" x14ac:dyDescent="0.2">
      <c r="B34" s="15"/>
      <c r="C34" s="16"/>
      <c r="D34" s="16"/>
      <c r="E34" s="16"/>
      <c r="F34" s="15" t="e">
        <f>SUM(F9:F33)</f>
        <v>#REF!</v>
      </c>
      <c r="G34" s="15">
        <f>SUM(G9:G33)</f>
        <v>720</v>
      </c>
      <c r="H34" s="4" t="e">
        <f>SUM(H21:H33)</f>
        <v>#REF!</v>
      </c>
    </row>
    <row r="35" spans="2:12" x14ac:dyDescent="0.2">
      <c r="K35" t="s">
        <v>36</v>
      </c>
    </row>
    <row r="36" spans="2:12" x14ac:dyDescent="0.2">
      <c r="H36" t="e">
        <f>+G34-F34</f>
        <v>#REF!</v>
      </c>
      <c r="K36" t="s">
        <v>37</v>
      </c>
    </row>
    <row r="37" spans="2:12" x14ac:dyDescent="0.2">
      <c r="K37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MushDrink Glovo 1910 AL 2510</vt:lpstr>
      <vt:lpstr>HORAS TOTALES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Jacinto .</cp:lastModifiedBy>
  <dcterms:created xsi:type="dcterms:W3CDTF">2026-03-09T02:36:00Z</dcterms:created>
  <dcterms:modified xsi:type="dcterms:W3CDTF">2026-10-17T16:04:53Z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B6B61CD14AA943A59946979BAF9985B1_13</vt:lpwstr>
  </property>
  <property fmtid="{D5CDD505-2E9C-101B-9397-08002B2CF9AE}" pid="3" name="KSOProductBuildVer">
    <vt:lpwstr>3082-12.1.0.29162</vt:lpwstr>
  </property>
  <property fmtid="{D5CDD505-2E9C-101B-9397-08002B2CF9AE}" pid="4" name="CalculationRule">
    <vt:i4>0</vt:i4>
  </property>
</Properties>
</file>