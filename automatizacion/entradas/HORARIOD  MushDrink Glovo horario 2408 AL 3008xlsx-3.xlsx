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840"/>
  </bookViews>
  <sheets>
    <sheet name="MushDrink Glovo 2408 AL 3008" sheetId="1" r:id="rId1"/>
    <sheet name="HORAS TOTALES" sheetId="2" r:id="rId2"/>
  </sheets>
  <definedNames>
    <definedName name="_xlnm._FilterDatabase" localSheetId="0" hidden="1">'MushDrink Glovo 2408 AL 3008'!$A$1:$F$211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<sst xmlns="http://schemas.openxmlformats.org/spreadsheetml/2006/main" count="478" uniqueCount="36">
  <si>
    <t>codigo_ciudad</t>
  </si>
  <si>
    <t>dia</t>
  </si>
  <si>
    <t>hora_inicio</t>
  </si>
  <si>
    <t>hora_final</t>
  </si>
  <si>
    <t>accion</t>
  </si>
  <si>
    <t>rider_id</t>
  </si>
  <si>
    <t>SAB</t>
  </si>
  <si>
    <t>BOOK</t>
  </si>
  <si>
    <t>CARLOS ROBAINA</t>
  </si>
  <si>
    <t>MAURICIO FULCADO</t>
  </si>
  <si>
    <t>MAFER RAMIREZ</t>
  </si>
  <si>
    <t>JONATHAN VELANDIA</t>
  </si>
  <si>
    <t>GABRIEL CARRILLO</t>
  </si>
  <si>
    <t>EMMANUEL GONZALEZ</t>
  </si>
  <si>
    <t>ALEXANDER MARIN</t>
  </si>
  <si>
    <t>MATHIAS PAEZ</t>
  </si>
  <si>
    <t>ANGEL CARVAJAL</t>
  </si>
  <si>
    <t>MARCO UZCATEGUI</t>
  </si>
  <si>
    <t>HERMA</t>
  </si>
  <si>
    <t>HERMA TAMICHE</t>
  </si>
  <si>
    <t>JEAN FRANCO</t>
  </si>
  <si>
    <t>CESAR OROPEZA</t>
  </si>
  <si>
    <t>NERIOS</t>
  </si>
  <si>
    <t>NERIOS ROSSELL</t>
  </si>
  <si>
    <t>LUIS ESPLUGUEZ</t>
  </si>
  <si>
    <t>FREDDY</t>
  </si>
  <si>
    <t>ROBERT REINOZA</t>
  </si>
  <si>
    <t>FREDERRYC</t>
  </si>
  <si>
    <t>FREDDERYK</t>
  </si>
  <si>
    <t>NORMA</t>
  </si>
  <si>
    <t>ALASKA</t>
  </si>
  <si>
    <t>ROBERT MONSERRAT</t>
  </si>
  <si>
    <t>GEORLAND</t>
  </si>
  <si>
    <t>JHOSMER</t>
  </si>
  <si>
    <t>DANIEL AZOCAR</t>
  </si>
  <si>
    <t>JESUS MARTINEZ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</si>
</sst>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* #,##0.00\ &quot;€&quot;_-;\-* #,##0.00\ &quot;€&quot;_-;_-* \-??\ &quot;€&quot;_-;_-@_-"/>
    <numFmt numFmtId="178" formatCode="_-* #,##0_-;\-* #,##0_-;_-* &quot;-&quot;_-;_-@_-"/>
    <numFmt numFmtId="179" formatCode="_-* #,##0\ &quot;€&quot;_-;\-* #,##0\ &quot;€&quot;_-;_-* &quot;-&quot;\ &quot;€&quot;_-;_-@_-"/>
  </numFmts>
  <fonts count="20">
    <font>
      <sz val="11"/>
      <color theme="1"/>
      <name val="Aptos Narrow"/>
      <charset val="134"/>
      <scheme val="minor"/>
    </font>
    <font>
      <sz val="1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134"/>
      <scheme val="minor"/>
    </font>
    <font>
      <sz val="18"/>
      <color theme="3"/>
      <name val="Aptos Display"/>
      <charset val="134"/>
      <scheme val="major"/>
    </font>
    <font>
      <i/>
      <sz val="11"/>
      <color rgb="FF7F7F7F"/>
      <name val="Aptos Narrow"/>
      <charset val="134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134"/>
      <scheme val="minor"/>
    </font>
    <font>
      <b/>
      <sz val="11"/>
      <color rgb="FF3F3F3F"/>
      <name val="Aptos Narrow"/>
      <charset val="134"/>
      <scheme val="minor"/>
    </font>
    <font>
      <b/>
      <sz val="11"/>
      <color rgb="FFFA7D00"/>
      <name val="Aptos Narrow"/>
      <charset val="134"/>
      <scheme val="minor"/>
    </font>
    <font>
      <b/>
      <sz val="11"/>
      <color theme="0"/>
      <name val="Aptos Narrow"/>
      <charset val="134"/>
      <scheme val="minor"/>
    </font>
    <font>
      <sz val="11"/>
      <color rgb="FFFA7D00"/>
      <name val="Aptos Narrow"/>
      <charset val="134"/>
      <scheme val="minor"/>
    </font>
    <font>
      <sz val="11"/>
      <color rgb="FF006100"/>
      <name val="Aptos Narrow"/>
      <charset val="134"/>
      <scheme val="minor"/>
    </font>
    <font>
      <sz val="11"/>
      <color rgb="FF9C0006"/>
      <name val="Aptos Narrow"/>
      <charset val="134"/>
      <scheme val="minor"/>
    </font>
    <font>
      <sz val="11"/>
      <color rgb="FF9C5700"/>
      <name val="Aptos Narrow"/>
      <charset val="134"/>
      <scheme val="minor"/>
    </font>
    <font>
      <sz val="11"/>
      <color theme="0"/>
      <name val="Aptos Narrow"/>
      <charset val="134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9" tint="0.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10" borderId="8" applyNumberFormat="0" applyFont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9" applyNumberFormat="0" applyFill="0" applyAlignment="0" applyProtection="0"/>
    <xf numFmtId="0" fontId="9" fillId="0" borderId="10" applyNumberFormat="0" applyFill="0" applyAlignment="0" applyProtection="0"/>
    <xf numFmtId="0" fontId="10" fillId="0" borderId="11" applyNumberFormat="0" applyFill="0" applyAlignment="0" applyProtection="0"/>
    <xf numFmtId="0" fontId="10" fillId="0" borderId="0" applyNumberFormat="0" applyFill="0" applyBorder="0" applyAlignment="0" applyProtection="0"/>
    <xf numFmtId="0" fontId="11" fillId="11" borderId="12" applyNumberFormat="0" applyAlignment="0" applyProtection="0"/>
    <xf numFmtId="0" fontId="12" fillId="12" borderId="13" applyNumberFormat="0" applyAlignment="0" applyProtection="0"/>
    <xf numFmtId="0" fontId="13" fillId="12" borderId="12" applyNumberFormat="0" applyAlignment="0" applyProtection="0"/>
    <xf numFmtId="0" fontId="14" fillId="13" borderId="14" applyNumberFormat="0" applyAlignment="0" applyProtection="0"/>
    <xf numFmtId="0" fontId="15" fillId="0" borderId="15" applyNumberFormat="0" applyFill="0" applyAlignment="0" applyProtection="0"/>
    <xf numFmtId="0" fontId="2" fillId="0" borderId="16" applyNumberFormat="0" applyFill="0" applyAlignment="0" applyProtection="0"/>
    <xf numFmtId="0" fontId="16" fillId="14" borderId="0" applyNumberFormat="0" applyBorder="0" applyAlignment="0" applyProtection="0"/>
    <xf numFmtId="0" fontId="17" fillId="15" borderId="0" applyNumberFormat="0" applyBorder="0" applyAlignment="0" applyProtection="0"/>
    <xf numFmtId="0" fontId="18" fillId="16" borderId="0" applyNumberFormat="0" applyBorder="0" applyAlignment="0" applyProtection="0"/>
    <xf numFmtId="0" fontId="19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19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19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19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  <xf numFmtId="0" fontId="19" fillId="4" borderId="0" applyNumberFormat="0" applyBorder="0" applyAlignment="0" applyProtection="0"/>
    <xf numFmtId="0" fontId="0" fillId="33" borderId="0" applyNumberFormat="0" applyBorder="0" applyAlignment="0" applyProtection="0"/>
    <xf numFmtId="0" fontId="0" fillId="34" borderId="0" applyNumberFormat="0" applyBorder="0" applyAlignment="0" applyProtection="0"/>
    <xf numFmtId="0" fontId="0" fillId="35" borderId="0" applyNumberFormat="0" applyBorder="0" applyAlignment="0" applyProtection="0"/>
    <xf numFmtId="0" fontId="19" fillId="6" borderId="0" applyNumberFormat="0" applyBorder="0" applyAlignment="0" applyProtection="0"/>
    <xf numFmtId="0" fontId="0" fillId="36" borderId="0" applyNumberFormat="0" applyBorder="0" applyAlignment="0" applyProtection="0"/>
    <xf numFmtId="0" fontId="0" fillId="37" borderId="0" applyNumberFormat="0" applyBorder="0" applyAlignment="0" applyProtection="0"/>
    <xf numFmtId="0" fontId="0" fillId="38" borderId="0" applyNumberFormat="0" applyBorder="0" applyAlignment="0" applyProtection="0"/>
  </cellStyleXfs>
  <cellXfs count="33">
    <xf numFmtId="0" fontId="0" fillId="0" borderId="0" xfId="0"/>
    <xf numFmtId="0" fontId="0" fillId="0" borderId="1" xfId="0" applyBorder="1" applyAlignment="1">
      <alignment horizontal="center"/>
    </xf>
    <xf numFmtId="0" fontId="0" fillId="2" borderId="0" xfId="0" applyFill="1" applyAlignment="1">
      <alignment horizontal="right"/>
    </xf>
    <xf numFmtId="0" fontId="0" fillId="2" borderId="0" xfId="0" applyFill="1"/>
    <xf numFmtId="0" fontId="0" fillId="3" borderId="0" xfId="0" applyFill="1"/>
    <xf numFmtId="0" fontId="0" fillId="0" borderId="2" xfId="0" applyBorder="1"/>
    <xf numFmtId="0" fontId="0" fillId="3" borderId="0" xfId="0" applyFont="1" applyFill="1" applyAlignment="1"/>
    <xf numFmtId="0" fontId="0" fillId="3" borderId="0" xfId="0" applyFont="1" applyFill="1" applyAlignment="1">
      <alignment horizontal="right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3" borderId="4" xfId="0" applyFill="1" applyBorder="1"/>
    <xf numFmtId="0" fontId="0" fillId="4" borderId="0" xfId="0" applyFill="1"/>
    <xf numFmtId="0" fontId="0" fillId="5" borderId="0" xfId="0" applyFont="1" applyFill="1" applyAlignment="1"/>
    <xf numFmtId="0" fontId="0" fillId="5" borderId="0" xfId="0" applyFont="1" applyFill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/>
    <xf numFmtId="0" fontId="0" fillId="6" borderId="0" xfId="0" applyFill="1" applyAlignment="1">
      <alignment horizontal="right"/>
    </xf>
    <xf numFmtId="0" fontId="1" fillId="6" borderId="0" xfId="0" applyFont="1" applyFill="1"/>
    <xf numFmtId="0" fontId="0" fillId="7" borderId="0" xfId="0" applyFill="1"/>
    <xf numFmtId="0" fontId="1" fillId="4" borderId="0" xfId="0" applyFont="1" applyFill="1"/>
    <xf numFmtId="0" fontId="2" fillId="0" borderId="0" xfId="0" applyFont="1"/>
    <xf numFmtId="0" fontId="0" fillId="8" borderId="0" xfId="0" applyFill="1" applyAlignment="1">
      <alignment horizontal="right"/>
    </xf>
    <xf numFmtId="0" fontId="0" fillId="8" borderId="0" xfId="0" applyFill="1"/>
    <xf numFmtId="0" fontId="0" fillId="8" borderId="4" xfId="0" applyFill="1" applyBorder="1"/>
    <xf numFmtId="0" fontId="0" fillId="9" borderId="0" xfId="0" applyFill="1"/>
    <xf numFmtId="0" fontId="0" fillId="6" borderId="0" xfId="0" applyFill="1"/>
    <xf numFmtId="0" fontId="0" fillId="0" borderId="5" xfId="0" applyBorder="1" applyAlignment="1">
      <alignment horizontal="center"/>
    </xf>
    <xf numFmtId="0" fontId="0" fillId="8" borderId="6" xfId="0" applyFill="1" applyBorder="1"/>
    <xf numFmtId="0" fontId="0" fillId="0" borderId="7" xfId="0" applyBorder="1"/>
    <xf numFmtId="58" fontId="0" fillId="3" borderId="0" xfId="0" applyNumberFormat="1" applyFill="1"/>
    <xf numFmtId="20" fontId="0" fillId="3" borderId="0" xfId="0" applyNumberFormat="1" applyFill="1"/>
    <xf numFmtId="0" fontId="0" fillId="3" borderId="0" xfId="0" applyFill="1" applyAlignment="1">
      <alignment horizontal="right"/>
    </xf>
    <xf numFmtId="20" fontId="1" fillId="3" borderId="0" xfId="0" applyNumberFormat="1" applyFont="1" applyFill="1"/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2" defaultPivotStyle="PivotStyleLight16"/>
  <colors>
    <mruColors>
      <color rgb="00F9680D"/>
      <color rgb="0000B050"/>
      <color rgb="00FFFF00"/>
      <color rgb="00FF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1"/>
  <sheetViews>
    <sheetView tabSelected="1" zoomScale="75" zoomScaleNormal="75" topLeftCell="A184" workbookViewId="0">
      <selection activeCell="F1" sqref="A$1:F$1048576"/>
    </sheetView>
  </sheetViews>
  <sheetFormatPr defaultColWidth="11" defaultRowHeight="14.4" outlineLevelCol="5"/>
  <cols>
    <col min="1" max="5" width="11.4259259259259" style="4" customWidth="1"/>
    <col min="6" max="6" width="11" style="4"/>
  </cols>
  <sheetData>
    <row r="1" spans="1: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="4" customFormat="1" spans="1:6">
      <c r="A2" s="4" t="s">
        <v>6</v>
      </c>
      <c r="B2" s="29">
        <v>46258</v>
      </c>
      <c r="C2" s="30">
        <v>0.5</v>
      </c>
      <c r="D2" s="30">
        <v>0.75</v>
      </c>
      <c r="E2" s="4" t="s">
        <v>7</v>
      </c>
      <c r="F2" s="31">
        <v>4515532</v>
      </c>
    </row>
    <row r="3" s="4" customFormat="1" spans="1:6">
      <c r="A3" s="4" t="s">
        <v>6</v>
      </c>
      <c r="B3" s="29">
        <v>46258</v>
      </c>
      <c r="C3" s="30">
        <v>0.5</v>
      </c>
      <c r="D3" s="30">
        <v>0.75</v>
      </c>
      <c r="E3" s="4" t="s">
        <v>7</v>
      </c>
      <c r="F3" s="31">
        <v>4515533</v>
      </c>
    </row>
    <row r="4" s="4" customFormat="1" spans="1:6">
      <c r="A4" s="4" t="s">
        <v>6</v>
      </c>
      <c r="B4" s="29">
        <v>46258</v>
      </c>
      <c r="C4" s="30">
        <v>0.5</v>
      </c>
      <c r="D4" s="30">
        <v>0.75</v>
      </c>
      <c r="E4" s="4" t="s">
        <v>7</v>
      </c>
      <c r="F4" s="31">
        <v>4503209</v>
      </c>
    </row>
    <row r="5" s="4" customFormat="1" spans="1:6">
      <c r="A5" s="4" t="s">
        <v>6</v>
      </c>
      <c r="B5" s="29">
        <v>46258</v>
      </c>
      <c r="C5" s="30">
        <v>0.520833333333333</v>
      </c>
      <c r="D5" s="30">
        <v>0.708333333333333</v>
      </c>
      <c r="E5" s="4" t="s">
        <v>7</v>
      </c>
      <c r="F5" s="31">
        <v>4555685</v>
      </c>
    </row>
    <row r="6" s="4" customFormat="1" spans="1:6">
      <c r="A6" s="4" t="s">
        <v>6</v>
      </c>
      <c r="B6" s="29">
        <v>46258</v>
      </c>
      <c r="C6" s="30">
        <v>0.541666666666667</v>
      </c>
      <c r="D6" s="30">
        <v>0.708333333333333</v>
      </c>
      <c r="E6" s="4" t="s">
        <v>7</v>
      </c>
      <c r="F6" s="31">
        <v>4502586</v>
      </c>
    </row>
    <row r="7" s="4" customFormat="1" spans="1:6">
      <c r="A7" s="4" t="s">
        <v>6</v>
      </c>
      <c r="B7" s="29">
        <v>46258</v>
      </c>
      <c r="C7" s="30">
        <v>0.5625</v>
      </c>
      <c r="D7" s="30">
        <v>0.645833333333333</v>
      </c>
      <c r="E7" s="4" t="s">
        <v>7</v>
      </c>
      <c r="F7" s="31">
        <v>4503602</v>
      </c>
    </row>
    <row r="8" s="4" customFormat="1" spans="1:6">
      <c r="A8" s="4" t="s">
        <v>6</v>
      </c>
      <c r="B8" s="29">
        <v>46258</v>
      </c>
      <c r="C8" s="30">
        <v>0.5625</v>
      </c>
      <c r="D8" s="30">
        <v>0.645833333333333</v>
      </c>
      <c r="E8" s="4" t="s">
        <v>7</v>
      </c>
      <c r="F8" s="31">
        <v>4503208</v>
      </c>
    </row>
    <row r="9" s="4" customFormat="1" spans="1:6">
      <c r="A9" s="4" t="s">
        <v>6</v>
      </c>
      <c r="B9" s="29">
        <v>46258</v>
      </c>
      <c r="C9" s="30">
        <v>0.5625</v>
      </c>
      <c r="D9" s="30">
        <v>0.645833333333333</v>
      </c>
      <c r="E9" s="4" t="s">
        <v>7</v>
      </c>
      <c r="F9" s="31">
        <v>4503211</v>
      </c>
    </row>
    <row r="10" s="4" customFormat="1" spans="1:6">
      <c r="A10" s="4" t="s">
        <v>6</v>
      </c>
      <c r="B10" s="29">
        <v>46258</v>
      </c>
      <c r="C10" s="30">
        <v>0.75</v>
      </c>
      <c r="D10" s="32">
        <v>1</v>
      </c>
      <c r="E10" s="4" t="s">
        <v>7</v>
      </c>
      <c r="F10" s="31">
        <v>4503212</v>
      </c>
    </row>
    <row r="11" s="4" customFormat="1" spans="1:6">
      <c r="A11" s="4" t="s">
        <v>6</v>
      </c>
      <c r="B11" s="29">
        <v>46258</v>
      </c>
      <c r="C11" s="30">
        <v>0.75</v>
      </c>
      <c r="D11" s="32">
        <v>1</v>
      </c>
      <c r="E11" s="4" t="s">
        <v>7</v>
      </c>
      <c r="F11" s="31">
        <v>4503208</v>
      </c>
    </row>
    <row r="12" s="4" customFormat="1" spans="1:6">
      <c r="A12" s="4" t="s">
        <v>6</v>
      </c>
      <c r="B12" s="29">
        <v>46258</v>
      </c>
      <c r="C12" s="30">
        <v>0.75</v>
      </c>
      <c r="D12" s="32">
        <v>1</v>
      </c>
      <c r="E12" s="4" t="s">
        <v>7</v>
      </c>
      <c r="F12" s="31">
        <v>4571713</v>
      </c>
    </row>
    <row r="13" s="4" customFormat="1" spans="1:6">
      <c r="A13" s="4" t="s">
        <v>6</v>
      </c>
      <c r="B13" s="29">
        <v>46258</v>
      </c>
      <c r="C13" s="30">
        <v>0.8125</v>
      </c>
      <c r="D13" s="32">
        <v>0.958333333333333</v>
      </c>
      <c r="E13" s="4" t="s">
        <v>7</v>
      </c>
      <c r="F13" s="31">
        <v>4592954</v>
      </c>
    </row>
    <row r="14" s="4" customFormat="1" spans="1:6">
      <c r="A14" s="4" t="s">
        <v>6</v>
      </c>
      <c r="B14" s="29">
        <v>46258</v>
      </c>
      <c r="C14" s="30">
        <v>0.8125</v>
      </c>
      <c r="D14" s="32">
        <v>0.9375</v>
      </c>
      <c r="E14" s="4" t="s">
        <v>7</v>
      </c>
      <c r="F14" s="31">
        <v>4592955</v>
      </c>
    </row>
    <row r="15" s="4" customFormat="1" spans="1:6">
      <c r="A15" s="4" t="s">
        <v>6</v>
      </c>
      <c r="B15" s="29">
        <v>46258</v>
      </c>
      <c r="C15" s="30">
        <v>0.833333333333333</v>
      </c>
      <c r="D15" s="30">
        <v>0.9375</v>
      </c>
      <c r="E15" s="4" t="s">
        <v>7</v>
      </c>
      <c r="F15" s="31">
        <v>4503211</v>
      </c>
    </row>
    <row r="16" s="4" customFormat="1" spans="1:6">
      <c r="A16" s="4" t="s">
        <v>6</v>
      </c>
      <c r="B16" s="29">
        <v>46258</v>
      </c>
      <c r="C16" s="30">
        <v>0.833333333333333</v>
      </c>
      <c r="D16" s="30">
        <v>0.9375</v>
      </c>
      <c r="E16" s="4" t="s">
        <v>7</v>
      </c>
      <c r="F16" s="31">
        <v>4529491</v>
      </c>
    </row>
    <row r="17" s="4" customFormat="1" spans="1:6">
      <c r="A17" s="4" t="s">
        <v>6</v>
      </c>
      <c r="B17" s="29">
        <v>46258</v>
      </c>
      <c r="C17" s="30">
        <v>0.833333333333333</v>
      </c>
      <c r="D17" s="32">
        <v>0.9375</v>
      </c>
      <c r="E17" s="4" t="s">
        <v>7</v>
      </c>
      <c r="F17" s="31">
        <v>4503209</v>
      </c>
    </row>
    <row r="18" s="4" customFormat="1" spans="1:6">
      <c r="A18" s="4" t="s">
        <v>6</v>
      </c>
      <c r="B18" s="29">
        <v>46258</v>
      </c>
      <c r="C18" s="30">
        <v>0.833333333333333</v>
      </c>
      <c r="D18" s="30">
        <v>0.9375</v>
      </c>
      <c r="E18" s="4" t="s">
        <v>7</v>
      </c>
      <c r="F18" s="31">
        <v>4503602</v>
      </c>
    </row>
    <row r="19" s="4" customFormat="1" spans="1:6">
      <c r="A19" s="4" t="s">
        <v>6</v>
      </c>
      <c r="B19" s="29">
        <v>46258</v>
      </c>
      <c r="C19" s="30">
        <v>0.833333333333333</v>
      </c>
      <c r="D19" s="30">
        <v>0.9375</v>
      </c>
      <c r="E19" s="4" t="s">
        <v>7</v>
      </c>
      <c r="F19" s="31">
        <v>4515533</v>
      </c>
    </row>
    <row r="20" s="4" customFormat="1" spans="1:6">
      <c r="A20" s="4" t="s">
        <v>6</v>
      </c>
      <c r="B20" s="29">
        <v>46258</v>
      </c>
      <c r="C20" s="30">
        <v>0.854166666666667</v>
      </c>
      <c r="D20" s="30">
        <v>0.916666666666667</v>
      </c>
      <c r="E20" s="4" t="s">
        <v>7</v>
      </c>
      <c r="F20" s="31">
        <v>4555685</v>
      </c>
    </row>
    <row r="21" s="4" customFormat="1" spans="1:6">
      <c r="A21" s="4" t="s">
        <v>6</v>
      </c>
      <c r="B21" s="29">
        <v>46258</v>
      </c>
      <c r="C21" s="30">
        <v>0.854166666666667</v>
      </c>
      <c r="D21" s="30">
        <v>0.916666666666667</v>
      </c>
      <c r="E21" s="4" t="s">
        <v>7</v>
      </c>
      <c r="F21" s="4">
        <v>4571710</v>
      </c>
    </row>
    <row r="22" s="4" customFormat="1" spans="1:6">
      <c r="A22" s="4" t="s">
        <v>6</v>
      </c>
      <c r="B22" s="29">
        <v>46258</v>
      </c>
      <c r="C22" s="30">
        <v>0.854166666666667</v>
      </c>
      <c r="D22" s="30">
        <v>0.916666666666667</v>
      </c>
      <c r="E22" s="4" t="s">
        <v>7</v>
      </c>
      <c r="F22" s="31">
        <v>4515532</v>
      </c>
    </row>
    <row r="23" s="4" customFormat="1" spans="1:6">
      <c r="A23" s="4" t="s">
        <v>6</v>
      </c>
      <c r="B23" s="29">
        <v>46258</v>
      </c>
      <c r="C23" s="30">
        <v>0.854166666666667</v>
      </c>
      <c r="D23" s="30">
        <v>0.916666666666667</v>
      </c>
      <c r="E23" s="4" t="s">
        <v>7</v>
      </c>
      <c r="F23" s="31">
        <v>4515533</v>
      </c>
    </row>
    <row r="24" s="4" customFormat="1" spans="1:6">
      <c r="A24" s="4" t="s">
        <v>6</v>
      </c>
      <c r="B24" s="29">
        <v>46259</v>
      </c>
      <c r="C24" s="30">
        <v>0.5</v>
      </c>
      <c r="D24" s="30">
        <v>0.75</v>
      </c>
      <c r="E24" s="4" t="s">
        <v>7</v>
      </c>
      <c r="F24" s="31">
        <v>4592956</v>
      </c>
    </row>
    <row r="25" s="4" customFormat="1" spans="1:6">
      <c r="A25" s="4" t="s">
        <v>6</v>
      </c>
      <c r="B25" s="29">
        <v>46259</v>
      </c>
      <c r="C25" s="30">
        <v>0.5</v>
      </c>
      <c r="D25" s="30">
        <v>0.75</v>
      </c>
      <c r="E25" s="4" t="s">
        <v>7</v>
      </c>
      <c r="F25" s="31">
        <v>4592958</v>
      </c>
    </row>
    <row r="26" s="4" customFormat="1" spans="1:6">
      <c r="A26" s="4" t="s">
        <v>6</v>
      </c>
      <c r="B26" s="29">
        <v>46259</v>
      </c>
      <c r="C26" s="30">
        <v>0.5</v>
      </c>
      <c r="D26" s="30">
        <v>0.75</v>
      </c>
      <c r="E26" s="4" t="s">
        <v>7</v>
      </c>
      <c r="F26" s="31">
        <v>4594875</v>
      </c>
    </row>
    <row r="27" s="4" customFormat="1" spans="1:6">
      <c r="A27" s="4" t="s">
        <v>6</v>
      </c>
      <c r="B27" s="29">
        <v>46259</v>
      </c>
      <c r="C27" s="30">
        <v>0.541666666666667</v>
      </c>
      <c r="D27" s="30">
        <v>0.6875</v>
      </c>
      <c r="E27" s="4" t="s">
        <v>7</v>
      </c>
      <c r="F27" s="31">
        <v>4594878</v>
      </c>
    </row>
    <row r="28" s="4" customFormat="1" spans="1:6">
      <c r="A28" s="4" t="s">
        <v>6</v>
      </c>
      <c r="B28" s="29">
        <v>46259</v>
      </c>
      <c r="C28" s="30">
        <v>0.541666666666667</v>
      </c>
      <c r="D28" s="30">
        <v>0.6875</v>
      </c>
      <c r="E28" s="4" t="s">
        <v>7</v>
      </c>
      <c r="F28" s="31">
        <v>4639813</v>
      </c>
    </row>
    <row r="29" s="4" customFormat="1" spans="1:6">
      <c r="A29" s="4" t="s">
        <v>6</v>
      </c>
      <c r="B29" s="29">
        <v>46259</v>
      </c>
      <c r="C29" s="30">
        <v>0.5625</v>
      </c>
      <c r="D29" s="30">
        <v>0.645833333333333</v>
      </c>
      <c r="E29" s="4" t="s">
        <v>7</v>
      </c>
      <c r="F29" s="31">
        <v>4639814</v>
      </c>
    </row>
    <row r="30" s="4" customFormat="1" spans="1:6">
      <c r="A30" s="4" t="s">
        <v>6</v>
      </c>
      <c r="B30" s="29">
        <v>46259</v>
      </c>
      <c r="C30" s="30">
        <v>0.604166666666667</v>
      </c>
      <c r="D30" s="30">
        <v>0.645833333333333</v>
      </c>
      <c r="E30" s="4" t="s">
        <v>7</v>
      </c>
      <c r="F30" s="31">
        <v>4655053</v>
      </c>
    </row>
    <row r="31" s="4" customFormat="1" spans="1:6">
      <c r="A31" s="4" t="s">
        <v>6</v>
      </c>
      <c r="B31" s="29">
        <v>46259</v>
      </c>
      <c r="C31" s="30">
        <v>0.625</v>
      </c>
      <c r="D31" s="30">
        <v>0.645833333333333</v>
      </c>
      <c r="E31" s="4" t="s">
        <v>7</v>
      </c>
      <c r="F31" s="31">
        <v>4662891</v>
      </c>
    </row>
    <row r="32" s="4" customFormat="1" spans="1:6">
      <c r="A32" s="4" t="s">
        <v>6</v>
      </c>
      <c r="B32" s="29">
        <v>46259</v>
      </c>
      <c r="C32" s="30">
        <v>0.75</v>
      </c>
      <c r="D32" s="30">
        <v>1</v>
      </c>
      <c r="E32" s="4" t="s">
        <v>7</v>
      </c>
      <c r="F32" s="31">
        <v>4655053</v>
      </c>
    </row>
    <row r="33" s="4" customFormat="1" spans="1:6">
      <c r="A33" s="4" t="s">
        <v>6</v>
      </c>
      <c r="B33" s="29">
        <v>46259</v>
      </c>
      <c r="C33" s="30">
        <v>0.75</v>
      </c>
      <c r="D33" s="32">
        <v>1</v>
      </c>
      <c r="E33" s="4" t="s">
        <v>7</v>
      </c>
      <c r="F33" s="31">
        <v>4639814</v>
      </c>
    </row>
    <row r="34" s="4" customFormat="1" spans="1:6">
      <c r="A34" s="4" t="s">
        <v>6</v>
      </c>
      <c r="B34" s="29">
        <v>46259</v>
      </c>
      <c r="C34" s="30">
        <v>0.75</v>
      </c>
      <c r="D34" s="32">
        <v>1</v>
      </c>
      <c r="E34" s="4" t="s">
        <v>7</v>
      </c>
      <c r="F34" s="31">
        <v>4639813</v>
      </c>
    </row>
    <row r="35" s="4" customFormat="1" spans="1:6">
      <c r="A35" s="4" t="s">
        <v>6</v>
      </c>
      <c r="B35" s="29">
        <v>46259</v>
      </c>
      <c r="C35" s="30">
        <v>0.791666666666667</v>
      </c>
      <c r="D35" s="32">
        <v>0.958333333333333</v>
      </c>
      <c r="E35" s="4" t="s">
        <v>7</v>
      </c>
      <c r="F35" s="31">
        <v>4515533</v>
      </c>
    </row>
    <row r="36" s="4" customFormat="1" spans="1:6">
      <c r="A36" s="4" t="s">
        <v>6</v>
      </c>
      <c r="B36" s="29">
        <v>46259</v>
      </c>
      <c r="C36" s="30">
        <v>0.8125</v>
      </c>
      <c r="D36" s="32">
        <v>0.958333333333333</v>
      </c>
      <c r="E36" s="4" t="s">
        <v>7</v>
      </c>
      <c r="F36" s="31">
        <v>4503212</v>
      </c>
    </row>
    <row r="37" s="4" customFormat="1" spans="1:6">
      <c r="A37" s="4" t="s">
        <v>6</v>
      </c>
      <c r="B37" s="29">
        <v>46259</v>
      </c>
      <c r="C37" s="30">
        <v>0.833333333333333</v>
      </c>
      <c r="D37" s="32">
        <v>0.9375</v>
      </c>
      <c r="E37" s="4" t="s">
        <v>7</v>
      </c>
      <c r="F37" s="31">
        <v>4503208</v>
      </c>
    </row>
    <row r="38" s="4" customFormat="1" spans="1:6">
      <c r="A38" s="4" t="s">
        <v>6</v>
      </c>
      <c r="B38" s="29">
        <v>46259</v>
      </c>
      <c r="C38" s="30">
        <v>0.833333333333333</v>
      </c>
      <c r="D38" s="32">
        <v>0.9375</v>
      </c>
      <c r="E38" s="4" t="s">
        <v>7</v>
      </c>
      <c r="F38" s="31">
        <v>4592956</v>
      </c>
    </row>
    <row r="39" s="4" customFormat="1" spans="1:6">
      <c r="A39" s="4" t="s">
        <v>6</v>
      </c>
      <c r="B39" s="29">
        <v>46259</v>
      </c>
      <c r="C39" s="30">
        <v>0.833333333333333</v>
      </c>
      <c r="D39" s="30">
        <v>0.9375</v>
      </c>
      <c r="E39" s="4" t="s">
        <v>7</v>
      </c>
      <c r="F39" s="31">
        <v>4592958</v>
      </c>
    </row>
    <row r="40" s="4" customFormat="1" spans="1:6">
      <c r="A40" s="4" t="s">
        <v>6</v>
      </c>
      <c r="B40" s="29">
        <v>46259</v>
      </c>
      <c r="C40" s="30">
        <v>0.833333333333333</v>
      </c>
      <c r="D40" s="32">
        <v>0.9375</v>
      </c>
      <c r="E40" s="4" t="s">
        <v>7</v>
      </c>
      <c r="F40" s="31">
        <v>4594875</v>
      </c>
    </row>
    <row r="41" s="4" customFormat="1" spans="1:6">
      <c r="A41" s="4" t="s">
        <v>6</v>
      </c>
      <c r="B41" s="29">
        <v>46259</v>
      </c>
      <c r="C41" s="30">
        <v>0.833333333333333</v>
      </c>
      <c r="D41" s="32">
        <v>0.9375</v>
      </c>
      <c r="E41" s="4" t="s">
        <v>7</v>
      </c>
      <c r="F41" s="31">
        <v>4594878</v>
      </c>
    </row>
    <row r="42" s="4" customFormat="1" spans="1:6">
      <c r="A42" s="4" t="s">
        <v>6</v>
      </c>
      <c r="B42" s="29">
        <v>46259</v>
      </c>
      <c r="C42" s="30">
        <v>0.854166666666667</v>
      </c>
      <c r="D42" s="30">
        <v>0.9375</v>
      </c>
      <c r="E42" s="4" t="s">
        <v>7</v>
      </c>
      <c r="F42" s="31">
        <v>4662891</v>
      </c>
    </row>
    <row r="43" s="4" customFormat="1" spans="1:6">
      <c r="A43" s="4" t="s">
        <v>6</v>
      </c>
      <c r="B43" s="29">
        <v>46259</v>
      </c>
      <c r="C43" s="30">
        <v>0.854166666666667</v>
      </c>
      <c r="D43" s="30">
        <v>0.916666666666667</v>
      </c>
      <c r="E43" s="4" t="s">
        <v>7</v>
      </c>
      <c r="F43" s="31">
        <v>4592955</v>
      </c>
    </row>
    <row r="44" s="4" customFormat="1" spans="1:6">
      <c r="A44" s="4" t="s">
        <v>6</v>
      </c>
      <c r="B44" s="29">
        <v>46259</v>
      </c>
      <c r="C44" s="30">
        <v>0.854166666666667</v>
      </c>
      <c r="D44" s="32">
        <v>0.916666666666667</v>
      </c>
      <c r="E44" s="4" t="s">
        <v>7</v>
      </c>
      <c r="F44" s="31">
        <v>4592954</v>
      </c>
    </row>
    <row r="45" s="4" customFormat="1" spans="1:6">
      <c r="A45" s="4" t="s">
        <v>6</v>
      </c>
      <c r="B45" s="29">
        <v>46259</v>
      </c>
      <c r="C45" s="30">
        <v>0.854166666666667</v>
      </c>
      <c r="D45" s="32">
        <v>0.916666666666667</v>
      </c>
      <c r="E45" s="4" t="s">
        <v>7</v>
      </c>
      <c r="F45" s="31">
        <v>4503211</v>
      </c>
    </row>
    <row r="46" s="4" customFormat="1" spans="1:6">
      <c r="A46" s="4" t="s">
        <v>6</v>
      </c>
      <c r="B46" s="29">
        <v>46259</v>
      </c>
      <c r="C46" s="30">
        <v>0.854166666666667</v>
      </c>
      <c r="D46" s="32">
        <v>0.875</v>
      </c>
      <c r="E46" s="4" t="s">
        <v>7</v>
      </c>
      <c r="F46" s="31">
        <v>4503602</v>
      </c>
    </row>
    <row r="47" s="4" customFormat="1" spans="1:6">
      <c r="A47" s="4" t="s">
        <v>6</v>
      </c>
      <c r="B47" s="29">
        <v>46260</v>
      </c>
      <c r="C47" s="30">
        <v>0.5</v>
      </c>
      <c r="D47" s="30">
        <v>0.75</v>
      </c>
      <c r="E47" s="4" t="s">
        <v>7</v>
      </c>
      <c r="F47" s="31">
        <v>4655053</v>
      </c>
    </row>
    <row r="48" s="4" customFormat="1" spans="1:6">
      <c r="A48" s="4" t="s">
        <v>6</v>
      </c>
      <c r="B48" s="29">
        <v>46260</v>
      </c>
      <c r="C48" s="30">
        <v>0.5</v>
      </c>
      <c r="D48" s="30">
        <v>0.75</v>
      </c>
      <c r="E48" s="4" t="s">
        <v>7</v>
      </c>
      <c r="F48" s="31">
        <v>4592958</v>
      </c>
    </row>
    <row r="49" s="4" customFormat="1" spans="1:6">
      <c r="A49" s="4" t="s">
        <v>6</v>
      </c>
      <c r="B49" s="29">
        <v>46260</v>
      </c>
      <c r="C49" s="30">
        <v>0.5</v>
      </c>
      <c r="D49" s="30">
        <v>0.75</v>
      </c>
      <c r="E49" s="4" t="s">
        <v>7</v>
      </c>
      <c r="F49" s="31">
        <v>4515532</v>
      </c>
    </row>
    <row r="50" spans="1:6">
      <c r="A50" s="4" t="s">
        <v>6</v>
      </c>
      <c r="B50" s="29">
        <v>46260</v>
      </c>
      <c r="C50" s="30">
        <v>0.541666666666667</v>
      </c>
      <c r="D50" s="30">
        <v>0.6875</v>
      </c>
      <c r="E50" s="4" t="s">
        <v>7</v>
      </c>
      <c r="F50" s="31">
        <v>4555685</v>
      </c>
    </row>
    <row r="51" spans="1:6">
      <c r="A51" s="4" t="s">
        <v>6</v>
      </c>
      <c r="B51" s="29">
        <v>46260</v>
      </c>
      <c r="C51" s="30">
        <v>0.541666666666667</v>
      </c>
      <c r="D51" s="30">
        <v>0.6875</v>
      </c>
      <c r="E51" s="4" t="s">
        <v>7</v>
      </c>
      <c r="F51" s="31">
        <v>4503209</v>
      </c>
    </row>
    <row r="52" spans="1:6">
      <c r="A52" s="4" t="s">
        <v>6</v>
      </c>
      <c r="B52" s="29">
        <v>46260</v>
      </c>
      <c r="C52" s="30">
        <v>0.5625</v>
      </c>
      <c r="D52" s="30">
        <v>0.645833333333333</v>
      </c>
      <c r="E52" s="4" t="s">
        <v>7</v>
      </c>
      <c r="F52" s="31">
        <v>4594878</v>
      </c>
    </row>
    <row r="53" spans="1:6">
      <c r="A53" s="4" t="s">
        <v>6</v>
      </c>
      <c r="B53" s="29">
        <v>46260</v>
      </c>
      <c r="C53" s="30">
        <v>0.5625</v>
      </c>
      <c r="D53" s="30">
        <v>0.625</v>
      </c>
      <c r="E53" s="4" t="s">
        <v>7</v>
      </c>
      <c r="F53" s="4">
        <v>4571710</v>
      </c>
    </row>
    <row r="54" spans="1:6">
      <c r="A54" s="4" t="s">
        <v>6</v>
      </c>
      <c r="B54" s="29">
        <v>46260</v>
      </c>
      <c r="C54" s="30">
        <v>0.5625</v>
      </c>
      <c r="D54" s="30">
        <v>0.583333333333333</v>
      </c>
      <c r="E54" s="4" t="s">
        <v>7</v>
      </c>
      <c r="F54" s="31">
        <v>4571713</v>
      </c>
    </row>
    <row r="55" spans="1:6">
      <c r="A55" s="4" t="s">
        <v>6</v>
      </c>
      <c r="B55" s="29">
        <v>46260</v>
      </c>
      <c r="C55" s="30">
        <v>0.75</v>
      </c>
      <c r="D55" s="30">
        <v>1</v>
      </c>
      <c r="E55" s="4" t="s">
        <v>7</v>
      </c>
      <c r="F55" s="4">
        <v>4571710</v>
      </c>
    </row>
    <row r="56" spans="1:6">
      <c r="A56" s="4" t="s">
        <v>6</v>
      </c>
      <c r="B56" s="29">
        <v>46260</v>
      </c>
      <c r="C56" s="30">
        <v>0.75</v>
      </c>
      <c r="D56" s="32">
        <v>1</v>
      </c>
      <c r="E56" s="4" t="s">
        <v>7</v>
      </c>
      <c r="F56" s="31">
        <v>4571713</v>
      </c>
    </row>
    <row r="57" spans="1:6">
      <c r="A57" s="4" t="s">
        <v>6</v>
      </c>
      <c r="B57" s="29">
        <v>46260</v>
      </c>
      <c r="C57" s="30">
        <v>0.75</v>
      </c>
      <c r="D57" s="32">
        <v>1</v>
      </c>
      <c r="E57" s="4" t="s">
        <v>7</v>
      </c>
      <c r="F57" s="31">
        <v>4594878</v>
      </c>
    </row>
    <row r="58" spans="1:6">
      <c r="A58" s="4" t="s">
        <v>6</v>
      </c>
      <c r="B58" s="29">
        <v>46260</v>
      </c>
      <c r="C58" s="30">
        <v>0.791666666666667</v>
      </c>
      <c r="D58" s="32">
        <v>0.958333333333333</v>
      </c>
      <c r="E58" s="4" t="s">
        <v>7</v>
      </c>
      <c r="F58" s="31">
        <v>4503209</v>
      </c>
    </row>
    <row r="59" spans="1:6">
      <c r="A59" s="4" t="s">
        <v>6</v>
      </c>
      <c r="B59" s="29">
        <v>46260</v>
      </c>
      <c r="C59" s="30">
        <v>0.8125</v>
      </c>
      <c r="D59" s="32">
        <v>0.958333333333333</v>
      </c>
      <c r="E59" s="4" t="s">
        <v>7</v>
      </c>
      <c r="F59" s="31">
        <v>4592954</v>
      </c>
    </row>
    <row r="60" spans="1:6">
      <c r="A60" s="4" t="s">
        <v>6</v>
      </c>
      <c r="B60" s="29">
        <v>46260</v>
      </c>
      <c r="C60" s="30">
        <v>0.833333333333333</v>
      </c>
      <c r="D60" s="32">
        <v>0.958333333333333</v>
      </c>
      <c r="E60" s="4" t="s">
        <v>7</v>
      </c>
      <c r="F60" s="31">
        <v>4655053</v>
      </c>
    </row>
    <row r="61" spans="1:6">
      <c r="A61" s="4" t="s">
        <v>6</v>
      </c>
      <c r="B61" s="29">
        <v>46260</v>
      </c>
      <c r="C61" s="30">
        <v>0.833333333333333</v>
      </c>
      <c r="D61" s="32">
        <v>0.9375</v>
      </c>
      <c r="E61" s="4" t="s">
        <v>7</v>
      </c>
      <c r="F61" s="31">
        <v>4662891</v>
      </c>
    </row>
    <row r="62" spans="1:6">
      <c r="A62" s="4" t="s">
        <v>6</v>
      </c>
      <c r="B62" s="29">
        <v>46260</v>
      </c>
      <c r="C62" s="30">
        <v>0.833333333333333</v>
      </c>
      <c r="D62" s="30">
        <v>0.9375</v>
      </c>
      <c r="E62" s="4" t="s">
        <v>7</v>
      </c>
      <c r="F62" s="31">
        <v>4592956</v>
      </c>
    </row>
    <row r="63" spans="1:6">
      <c r="A63" s="4" t="s">
        <v>6</v>
      </c>
      <c r="B63" s="29">
        <v>46260</v>
      </c>
      <c r="C63" s="30">
        <v>0.833333333333333</v>
      </c>
      <c r="D63" s="30">
        <v>0.9375</v>
      </c>
      <c r="E63" s="4" t="s">
        <v>7</v>
      </c>
      <c r="F63" s="31">
        <v>4529491</v>
      </c>
    </row>
    <row r="64" spans="1:6">
      <c r="A64" s="4" t="s">
        <v>6</v>
      </c>
      <c r="B64" s="29">
        <v>46260</v>
      </c>
      <c r="C64" s="30">
        <v>0.833333333333333</v>
      </c>
      <c r="D64" s="30">
        <v>0.9375</v>
      </c>
      <c r="E64" s="4" t="s">
        <v>7</v>
      </c>
      <c r="F64" s="31">
        <v>4639814</v>
      </c>
    </row>
    <row r="65" spans="1:6">
      <c r="A65" s="4" t="s">
        <v>6</v>
      </c>
      <c r="B65" s="29">
        <v>46260</v>
      </c>
      <c r="C65" s="30">
        <v>0.854166666666667</v>
      </c>
      <c r="D65" s="30">
        <v>0.9375</v>
      </c>
      <c r="E65" s="4" t="s">
        <v>7</v>
      </c>
      <c r="F65" s="31">
        <v>4502586</v>
      </c>
    </row>
    <row r="66" spans="1:6">
      <c r="A66" s="4" t="s">
        <v>6</v>
      </c>
      <c r="B66" s="29">
        <v>46260</v>
      </c>
      <c r="C66" s="30">
        <v>0.854166666666667</v>
      </c>
      <c r="D66" s="30">
        <v>0.9375</v>
      </c>
      <c r="E66" s="4" t="s">
        <v>7</v>
      </c>
      <c r="F66" s="31">
        <v>4592958</v>
      </c>
    </row>
    <row r="67" spans="1:6">
      <c r="A67" s="4" t="s">
        <v>6</v>
      </c>
      <c r="B67" s="29">
        <v>46260</v>
      </c>
      <c r="C67" s="30">
        <v>0.854166666666667</v>
      </c>
      <c r="D67" s="30">
        <v>0.9375</v>
      </c>
      <c r="E67" s="4" t="s">
        <v>7</v>
      </c>
      <c r="F67" s="31">
        <v>4515532</v>
      </c>
    </row>
    <row r="68" spans="1:6">
      <c r="A68" s="4" t="s">
        <v>6</v>
      </c>
      <c r="B68" s="29">
        <v>46260</v>
      </c>
      <c r="C68" s="30">
        <v>0.854166666666667</v>
      </c>
      <c r="D68" s="30">
        <v>0.9375</v>
      </c>
      <c r="E68" s="4" t="s">
        <v>7</v>
      </c>
      <c r="F68" s="31">
        <v>4555685</v>
      </c>
    </row>
    <row r="69" spans="1:6">
      <c r="A69" s="4" t="s">
        <v>6</v>
      </c>
      <c r="B69" s="29">
        <v>46260</v>
      </c>
      <c r="C69" s="30">
        <v>0.854166666666667</v>
      </c>
      <c r="D69" s="32">
        <v>0.916666666666667</v>
      </c>
      <c r="E69" s="4" t="s">
        <v>7</v>
      </c>
      <c r="F69" s="31">
        <v>4592955</v>
      </c>
    </row>
    <row r="70" spans="1:6">
      <c r="A70" s="4" t="s">
        <v>6</v>
      </c>
      <c r="B70" s="29">
        <v>46260</v>
      </c>
      <c r="C70" s="30">
        <v>0.854166666666667</v>
      </c>
      <c r="D70" s="32">
        <v>0.916666666666667</v>
      </c>
      <c r="E70" s="4" t="s">
        <v>7</v>
      </c>
      <c r="F70" s="31">
        <v>4594875</v>
      </c>
    </row>
    <row r="71" spans="1:6">
      <c r="A71" s="4" t="s">
        <v>6</v>
      </c>
      <c r="B71" s="29">
        <v>46260</v>
      </c>
      <c r="C71" s="30">
        <v>0.854166666666667</v>
      </c>
      <c r="D71" s="32">
        <v>0.916666666666667</v>
      </c>
      <c r="E71" s="4" t="s">
        <v>7</v>
      </c>
      <c r="F71" s="31">
        <v>4639813</v>
      </c>
    </row>
    <row r="72" spans="1:6">
      <c r="A72" s="4" t="s">
        <v>6</v>
      </c>
      <c r="B72" s="29">
        <v>46260</v>
      </c>
      <c r="C72" s="30">
        <v>0.895833333333333</v>
      </c>
      <c r="D72" s="32">
        <v>0.916666666666667</v>
      </c>
      <c r="E72" s="4" t="s">
        <v>7</v>
      </c>
      <c r="F72" s="31">
        <v>4515533</v>
      </c>
    </row>
    <row r="73" spans="1:6">
      <c r="A73" s="4" t="s">
        <v>6</v>
      </c>
      <c r="B73" s="29">
        <v>46261</v>
      </c>
      <c r="C73" s="30">
        <v>0.5</v>
      </c>
      <c r="D73" s="30">
        <v>0.75</v>
      </c>
      <c r="E73" s="4" t="s">
        <v>7</v>
      </c>
      <c r="F73" s="31">
        <v>4503211</v>
      </c>
    </row>
    <row r="74" spans="1:6">
      <c r="A74" s="4" t="s">
        <v>6</v>
      </c>
      <c r="B74" s="29">
        <v>46261</v>
      </c>
      <c r="C74" s="30">
        <v>0.5</v>
      </c>
      <c r="D74" s="30">
        <v>0.75</v>
      </c>
      <c r="E74" s="4" t="s">
        <v>7</v>
      </c>
      <c r="F74" s="31">
        <v>4502586</v>
      </c>
    </row>
    <row r="75" spans="1:6">
      <c r="A75" s="4" t="s">
        <v>6</v>
      </c>
      <c r="B75" s="29">
        <v>46261</v>
      </c>
      <c r="C75" s="30">
        <v>0.5</v>
      </c>
      <c r="D75" s="30">
        <v>0.75</v>
      </c>
      <c r="E75" s="4" t="s">
        <v>7</v>
      </c>
      <c r="F75" s="31">
        <v>4503212</v>
      </c>
    </row>
    <row r="76" spans="1:6">
      <c r="A76" s="4" t="s">
        <v>6</v>
      </c>
      <c r="B76" s="29">
        <v>46261</v>
      </c>
      <c r="C76" s="30">
        <v>0.541666666666667</v>
      </c>
      <c r="D76" s="30">
        <v>0.75</v>
      </c>
      <c r="E76" s="4" t="s">
        <v>7</v>
      </c>
      <c r="F76" s="31">
        <v>4515532</v>
      </c>
    </row>
    <row r="77" spans="1:6">
      <c r="A77" s="4" t="s">
        <v>6</v>
      </c>
      <c r="B77" s="29">
        <v>46261</v>
      </c>
      <c r="C77" s="30">
        <v>0.541666666666667</v>
      </c>
      <c r="D77" s="30">
        <v>0.75</v>
      </c>
      <c r="E77" s="4" t="s">
        <v>7</v>
      </c>
      <c r="F77" s="31">
        <v>4503209</v>
      </c>
    </row>
    <row r="78" spans="1:6">
      <c r="A78" s="4" t="s">
        <v>6</v>
      </c>
      <c r="B78" s="29">
        <v>46261</v>
      </c>
      <c r="C78" s="30">
        <v>0.5625</v>
      </c>
      <c r="D78" s="30">
        <v>0.625</v>
      </c>
      <c r="E78" s="4" t="s">
        <v>7</v>
      </c>
      <c r="F78" s="4">
        <v>4571710</v>
      </c>
    </row>
    <row r="79" spans="1:6">
      <c r="A79" s="4" t="s">
        <v>6</v>
      </c>
      <c r="B79" s="29">
        <v>46261</v>
      </c>
      <c r="C79" s="30">
        <v>0.583333333333333</v>
      </c>
      <c r="D79" s="30">
        <v>0.625</v>
      </c>
      <c r="E79" s="4" t="s">
        <v>7</v>
      </c>
      <c r="F79" s="31">
        <v>4503602</v>
      </c>
    </row>
    <row r="80" spans="1:6">
      <c r="A80" s="4" t="s">
        <v>6</v>
      </c>
      <c r="B80" s="29">
        <v>46261</v>
      </c>
      <c r="C80" s="30">
        <v>0.75</v>
      </c>
      <c r="D80" s="30">
        <v>1</v>
      </c>
      <c r="E80" s="4" t="s">
        <v>7</v>
      </c>
      <c r="F80" s="31">
        <v>4503602</v>
      </c>
    </row>
    <row r="81" spans="1:6">
      <c r="A81" s="4" t="s">
        <v>6</v>
      </c>
      <c r="B81" s="29">
        <v>46261</v>
      </c>
      <c r="C81" s="30">
        <v>0.75</v>
      </c>
      <c r="D81" s="32">
        <v>1</v>
      </c>
      <c r="E81" s="4" t="s">
        <v>7</v>
      </c>
      <c r="F81" s="31">
        <v>4571713</v>
      </c>
    </row>
    <row r="82" spans="1:6">
      <c r="A82" s="4" t="s">
        <v>6</v>
      </c>
      <c r="B82" s="29">
        <v>46261</v>
      </c>
      <c r="C82" s="30">
        <v>0.75</v>
      </c>
      <c r="D82" s="32">
        <v>1</v>
      </c>
      <c r="E82" s="4" t="s">
        <v>7</v>
      </c>
      <c r="F82" s="31">
        <v>4592954</v>
      </c>
    </row>
    <row r="83" spans="1:6">
      <c r="A83" s="4" t="s">
        <v>6</v>
      </c>
      <c r="B83" s="29">
        <v>46261</v>
      </c>
      <c r="C83" s="30">
        <v>0.770833333333333</v>
      </c>
      <c r="D83" s="32">
        <v>0.958333333333333</v>
      </c>
      <c r="E83" s="4" t="s">
        <v>7</v>
      </c>
      <c r="F83" s="31">
        <v>4592955</v>
      </c>
    </row>
    <row r="84" spans="1:6">
      <c r="A84" s="4" t="s">
        <v>6</v>
      </c>
      <c r="B84" s="29">
        <v>46261</v>
      </c>
      <c r="C84" s="30">
        <v>0.791666666666667</v>
      </c>
      <c r="D84" s="32">
        <v>0.958333333333333</v>
      </c>
      <c r="E84" s="4" t="s">
        <v>7</v>
      </c>
      <c r="F84" s="31">
        <v>4592956</v>
      </c>
    </row>
    <row r="85" spans="1:6">
      <c r="A85" s="4" t="s">
        <v>6</v>
      </c>
      <c r="B85" s="29">
        <v>46261</v>
      </c>
      <c r="C85" s="30">
        <v>0.8125</v>
      </c>
      <c r="D85" s="32">
        <v>0.9375</v>
      </c>
      <c r="E85" s="4" t="s">
        <v>7</v>
      </c>
      <c r="F85" s="31">
        <v>4592958</v>
      </c>
    </row>
    <row r="86" spans="1:6">
      <c r="A86" s="4" t="s">
        <v>6</v>
      </c>
      <c r="B86" s="29">
        <v>46261</v>
      </c>
      <c r="C86" s="30">
        <v>0.8125</v>
      </c>
      <c r="D86" s="32">
        <v>0.9375</v>
      </c>
      <c r="E86" s="4" t="s">
        <v>7</v>
      </c>
      <c r="F86" s="31">
        <v>4594875</v>
      </c>
    </row>
    <row r="87" spans="1:6">
      <c r="A87" s="4" t="s">
        <v>6</v>
      </c>
      <c r="B87" s="29">
        <v>46261</v>
      </c>
      <c r="C87" s="30">
        <v>0.8125</v>
      </c>
      <c r="D87" s="30">
        <v>0.9375</v>
      </c>
      <c r="E87" s="4" t="s">
        <v>7</v>
      </c>
      <c r="F87" s="31">
        <v>4594878</v>
      </c>
    </row>
    <row r="88" spans="1:6">
      <c r="A88" s="4" t="s">
        <v>6</v>
      </c>
      <c r="B88" s="29">
        <v>46261</v>
      </c>
      <c r="C88" s="30">
        <v>0.833333333333333</v>
      </c>
      <c r="D88" s="32">
        <v>0.9375</v>
      </c>
      <c r="E88" s="4" t="s">
        <v>7</v>
      </c>
      <c r="F88" s="31">
        <v>4639813</v>
      </c>
    </row>
    <row r="89" spans="1:6">
      <c r="A89" s="4" t="s">
        <v>6</v>
      </c>
      <c r="B89" s="29">
        <v>46261</v>
      </c>
      <c r="C89" s="30">
        <v>0.833333333333333</v>
      </c>
      <c r="D89" s="32">
        <v>0.9375</v>
      </c>
      <c r="E89" s="4" t="s">
        <v>7</v>
      </c>
      <c r="F89" s="31">
        <v>4639814</v>
      </c>
    </row>
    <row r="90" spans="1:6">
      <c r="A90" s="4" t="s">
        <v>6</v>
      </c>
      <c r="B90" s="29">
        <v>46261</v>
      </c>
      <c r="C90" s="30">
        <v>0.833333333333333</v>
      </c>
      <c r="D90" s="30">
        <v>0.9375</v>
      </c>
      <c r="E90" s="4" t="s">
        <v>7</v>
      </c>
      <c r="F90" s="31">
        <v>4655053</v>
      </c>
    </row>
    <row r="91" spans="1:6">
      <c r="A91" s="4" t="s">
        <v>6</v>
      </c>
      <c r="B91" s="29">
        <v>46261</v>
      </c>
      <c r="C91" s="30">
        <v>0.833333333333333</v>
      </c>
      <c r="D91" s="30">
        <v>0.916666666666667</v>
      </c>
      <c r="E91" s="4" t="s">
        <v>7</v>
      </c>
      <c r="F91" s="31">
        <v>4503211</v>
      </c>
    </row>
    <row r="92" spans="1:6">
      <c r="A92" s="4" t="s">
        <v>6</v>
      </c>
      <c r="B92" s="29">
        <v>46261</v>
      </c>
      <c r="C92" s="30">
        <v>0.854166666666667</v>
      </c>
      <c r="D92" s="32">
        <v>0.916666666666667</v>
      </c>
      <c r="E92" s="4" t="s">
        <v>7</v>
      </c>
      <c r="F92" s="31">
        <v>4503208</v>
      </c>
    </row>
    <row r="93" spans="1:6">
      <c r="A93" s="4" t="s">
        <v>6</v>
      </c>
      <c r="B93" s="29">
        <v>46261</v>
      </c>
      <c r="C93" s="30">
        <v>0.854166666666667</v>
      </c>
      <c r="D93" s="32">
        <v>0.916666666666667</v>
      </c>
      <c r="E93" s="4" t="s">
        <v>7</v>
      </c>
      <c r="F93" s="31">
        <v>4503212</v>
      </c>
    </row>
    <row r="94" spans="1:6">
      <c r="A94" s="4" t="s">
        <v>6</v>
      </c>
      <c r="B94" s="29">
        <v>46261</v>
      </c>
      <c r="C94" s="30">
        <v>0.854166666666667</v>
      </c>
      <c r="D94" s="30">
        <v>0.916666666666667</v>
      </c>
      <c r="E94" s="4" t="s">
        <v>7</v>
      </c>
      <c r="F94" s="31">
        <v>4555685</v>
      </c>
    </row>
    <row r="95" spans="1:6">
      <c r="A95" s="4" t="s">
        <v>6</v>
      </c>
      <c r="B95" s="29">
        <v>46261</v>
      </c>
      <c r="C95" s="30">
        <v>0.854166666666667</v>
      </c>
      <c r="D95" s="32">
        <v>0.916666666666667</v>
      </c>
      <c r="E95" s="4" t="s">
        <v>7</v>
      </c>
      <c r="F95" s="31">
        <v>4503209</v>
      </c>
    </row>
    <row r="96" spans="1:6">
      <c r="A96" s="4" t="s">
        <v>6</v>
      </c>
      <c r="B96" s="29">
        <v>46261</v>
      </c>
      <c r="C96" s="30">
        <v>0.854166666666667</v>
      </c>
      <c r="D96" s="32">
        <v>0.916666666666667</v>
      </c>
      <c r="E96" s="4" t="s">
        <v>7</v>
      </c>
      <c r="F96" s="31">
        <v>4662891</v>
      </c>
    </row>
    <row r="97" spans="1:6">
      <c r="A97" s="4" t="s">
        <v>6</v>
      </c>
      <c r="B97" s="29">
        <v>46261</v>
      </c>
      <c r="C97" s="30">
        <v>0.854166666666667</v>
      </c>
      <c r="D97" s="30">
        <v>0.895833333333333</v>
      </c>
      <c r="E97" s="4" t="s">
        <v>7</v>
      </c>
      <c r="F97" s="4">
        <v>4571710</v>
      </c>
    </row>
    <row r="98" spans="1:6">
      <c r="A98" s="4" t="s">
        <v>6</v>
      </c>
      <c r="B98" s="29">
        <v>46262</v>
      </c>
      <c r="C98" s="30">
        <v>0.5</v>
      </c>
      <c r="D98" s="30">
        <v>0.75</v>
      </c>
      <c r="E98" s="4" t="s">
        <v>7</v>
      </c>
      <c r="F98" s="31">
        <v>4503602</v>
      </c>
    </row>
    <row r="99" spans="1:6">
      <c r="A99" s="4" t="s">
        <v>6</v>
      </c>
      <c r="B99" s="29">
        <v>46262</v>
      </c>
      <c r="C99" s="30">
        <v>0.5</v>
      </c>
      <c r="D99" s="30">
        <v>0.75</v>
      </c>
      <c r="E99" s="4" t="s">
        <v>7</v>
      </c>
      <c r="F99" s="31">
        <v>4503208</v>
      </c>
    </row>
    <row r="100" spans="1:6">
      <c r="A100" s="4" t="s">
        <v>6</v>
      </c>
      <c r="B100" s="29">
        <v>46262</v>
      </c>
      <c r="C100" s="30">
        <v>0.5</v>
      </c>
      <c r="D100" s="30">
        <v>0.75</v>
      </c>
      <c r="E100" s="4" t="s">
        <v>7</v>
      </c>
      <c r="F100" s="31">
        <v>4503209</v>
      </c>
    </row>
    <row r="101" spans="1:6">
      <c r="A101" s="4" t="s">
        <v>6</v>
      </c>
      <c r="B101" s="29">
        <v>46262</v>
      </c>
      <c r="C101" s="30">
        <v>0.520833333333333</v>
      </c>
      <c r="D101" s="30">
        <v>0.75</v>
      </c>
      <c r="E101" s="4" t="s">
        <v>7</v>
      </c>
      <c r="F101" s="31">
        <v>4503211</v>
      </c>
    </row>
    <row r="102" spans="1:6">
      <c r="A102" s="4" t="s">
        <v>6</v>
      </c>
      <c r="B102" s="29">
        <v>46262</v>
      </c>
      <c r="C102" s="30">
        <v>0.520833333333333</v>
      </c>
      <c r="D102" s="30">
        <v>0.729166666666667</v>
      </c>
      <c r="E102" s="4" t="s">
        <v>7</v>
      </c>
      <c r="F102" s="31">
        <v>4529491</v>
      </c>
    </row>
    <row r="103" spans="1:6">
      <c r="A103" s="4" t="s">
        <v>6</v>
      </c>
      <c r="B103" s="29">
        <v>46262</v>
      </c>
      <c r="C103" s="30">
        <v>0.520833333333333</v>
      </c>
      <c r="D103" s="30">
        <v>0.708333333333333</v>
      </c>
      <c r="E103" s="4" t="s">
        <v>7</v>
      </c>
      <c r="F103" s="31">
        <v>4555685</v>
      </c>
    </row>
    <row r="104" spans="1:6">
      <c r="A104" s="4" t="s">
        <v>6</v>
      </c>
      <c r="B104" s="29">
        <v>46262</v>
      </c>
      <c r="C104" s="30">
        <v>0.520833333333333</v>
      </c>
      <c r="D104" s="30">
        <v>0.708333333333333</v>
      </c>
      <c r="E104" s="4" t="s">
        <v>7</v>
      </c>
      <c r="F104" s="31">
        <v>4639813</v>
      </c>
    </row>
    <row r="105" spans="1:6">
      <c r="A105" s="4" t="s">
        <v>6</v>
      </c>
      <c r="B105" s="29">
        <v>46262</v>
      </c>
      <c r="C105" s="30">
        <v>0.520833333333333</v>
      </c>
      <c r="D105" s="30">
        <v>0.708333333333333</v>
      </c>
      <c r="E105" s="4" t="s">
        <v>7</v>
      </c>
      <c r="F105" s="31">
        <v>4515533</v>
      </c>
    </row>
    <row r="106" spans="1:6">
      <c r="A106" s="4" t="s">
        <v>6</v>
      </c>
      <c r="B106" s="29">
        <v>46262</v>
      </c>
      <c r="C106" s="30">
        <v>0.520833333333333</v>
      </c>
      <c r="D106" s="30">
        <v>0.666666666666667</v>
      </c>
      <c r="E106" s="4" t="s">
        <v>7</v>
      </c>
      <c r="F106" s="31">
        <v>4592955</v>
      </c>
    </row>
    <row r="107" spans="1:6">
      <c r="A107" s="4" t="s">
        <v>6</v>
      </c>
      <c r="B107" s="29">
        <v>46262</v>
      </c>
      <c r="C107" s="30">
        <v>0.541666666666667</v>
      </c>
      <c r="D107" s="30">
        <v>0.645833333333333</v>
      </c>
      <c r="E107" s="4" t="s">
        <v>7</v>
      </c>
      <c r="F107" s="31">
        <v>4592956</v>
      </c>
    </row>
    <row r="108" spans="1:6">
      <c r="A108" s="4" t="s">
        <v>6</v>
      </c>
      <c r="B108" s="29">
        <v>46262</v>
      </c>
      <c r="C108" s="30">
        <v>0.541666666666667</v>
      </c>
      <c r="D108" s="30">
        <v>0.625</v>
      </c>
      <c r="E108" s="4" t="s">
        <v>7</v>
      </c>
      <c r="F108" s="31">
        <v>4639814</v>
      </c>
    </row>
    <row r="109" spans="1:6">
      <c r="A109" s="4" t="s">
        <v>6</v>
      </c>
      <c r="B109" s="29">
        <v>46262</v>
      </c>
      <c r="C109" s="30">
        <v>0.5625</v>
      </c>
      <c r="D109" s="30">
        <v>0.625</v>
      </c>
      <c r="E109" s="4" t="s">
        <v>7</v>
      </c>
      <c r="F109" s="31">
        <v>4502586</v>
      </c>
    </row>
    <row r="110" spans="1:6">
      <c r="A110" s="4" t="s">
        <v>6</v>
      </c>
      <c r="B110" s="29">
        <v>46262</v>
      </c>
      <c r="C110" s="30">
        <v>0.5625</v>
      </c>
      <c r="D110" s="30">
        <v>0.625</v>
      </c>
      <c r="E110" s="4" t="s">
        <v>7</v>
      </c>
      <c r="F110" s="31">
        <v>4503212</v>
      </c>
    </row>
    <row r="111" spans="1:6">
      <c r="A111" s="4" t="s">
        <v>6</v>
      </c>
      <c r="B111" s="29">
        <v>46262</v>
      </c>
      <c r="C111" s="30">
        <v>0.75</v>
      </c>
      <c r="D111" s="30">
        <v>1</v>
      </c>
      <c r="E111" s="4" t="s">
        <v>7</v>
      </c>
      <c r="F111" s="31">
        <v>4662891</v>
      </c>
    </row>
    <row r="112" spans="1:6">
      <c r="A112" s="4" t="s">
        <v>6</v>
      </c>
      <c r="B112" s="29">
        <v>46262</v>
      </c>
      <c r="C112" s="30">
        <v>0.75</v>
      </c>
      <c r="D112" s="30">
        <v>1</v>
      </c>
      <c r="E112" s="4" t="s">
        <v>7</v>
      </c>
      <c r="F112" s="31">
        <v>4502586</v>
      </c>
    </row>
    <row r="113" spans="1:6">
      <c r="A113" s="4" t="s">
        <v>6</v>
      </c>
      <c r="B113" s="29">
        <v>46262</v>
      </c>
      <c r="C113" s="30">
        <v>0.75</v>
      </c>
      <c r="D113" s="30">
        <v>1</v>
      </c>
      <c r="E113" s="4" t="s">
        <v>7</v>
      </c>
      <c r="F113" s="31">
        <v>4515532</v>
      </c>
    </row>
    <row r="114" spans="1:6">
      <c r="A114" s="4" t="s">
        <v>6</v>
      </c>
      <c r="B114" s="29">
        <v>46262</v>
      </c>
      <c r="C114" s="30">
        <v>0.75</v>
      </c>
      <c r="D114" s="30">
        <v>0.979166666666667</v>
      </c>
      <c r="E114" s="4" t="s">
        <v>7</v>
      </c>
      <c r="F114" s="4">
        <v>4571710</v>
      </c>
    </row>
    <row r="115" spans="1:6">
      <c r="A115" s="4" t="s">
        <v>6</v>
      </c>
      <c r="B115" s="29">
        <v>46262</v>
      </c>
      <c r="C115" s="30">
        <v>0.75</v>
      </c>
      <c r="D115" s="30">
        <v>0.958333333333333</v>
      </c>
      <c r="E115" s="4" t="s">
        <v>7</v>
      </c>
      <c r="F115" s="31">
        <v>4571713</v>
      </c>
    </row>
    <row r="116" spans="1:6">
      <c r="A116" s="4" t="s">
        <v>6</v>
      </c>
      <c r="B116" s="29">
        <v>46262</v>
      </c>
      <c r="C116" s="30">
        <v>0.791666666666667</v>
      </c>
      <c r="D116" s="30">
        <v>0.958333333333333</v>
      </c>
      <c r="E116" s="4" t="s">
        <v>7</v>
      </c>
      <c r="F116" s="31">
        <v>4529491</v>
      </c>
    </row>
    <row r="117" spans="1:6">
      <c r="A117" s="4" t="s">
        <v>6</v>
      </c>
      <c r="B117" s="29">
        <v>46262</v>
      </c>
      <c r="C117" s="30">
        <v>0.791666666666667</v>
      </c>
      <c r="D117" s="30">
        <v>0.958333333333333</v>
      </c>
      <c r="E117" s="4" t="s">
        <v>7</v>
      </c>
      <c r="F117" s="31">
        <v>4503211</v>
      </c>
    </row>
    <row r="118" spans="1:6">
      <c r="A118" s="4" t="s">
        <v>6</v>
      </c>
      <c r="B118" s="29">
        <v>46262</v>
      </c>
      <c r="C118" s="30">
        <v>0.8125</v>
      </c>
      <c r="D118" s="30">
        <v>0.958333333333333</v>
      </c>
      <c r="E118" s="4" t="s">
        <v>7</v>
      </c>
      <c r="F118" s="31">
        <v>4503212</v>
      </c>
    </row>
    <row r="119" spans="1:6">
      <c r="A119" s="4" t="s">
        <v>6</v>
      </c>
      <c r="B119" s="29">
        <v>46262</v>
      </c>
      <c r="C119" s="30">
        <v>0.8125</v>
      </c>
      <c r="D119" s="30">
        <v>0.958333333333333</v>
      </c>
      <c r="E119" s="4" t="s">
        <v>7</v>
      </c>
      <c r="F119" s="31">
        <v>4503602</v>
      </c>
    </row>
    <row r="120" spans="1:6">
      <c r="A120" s="4" t="s">
        <v>6</v>
      </c>
      <c r="B120" s="29">
        <v>46262</v>
      </c>
      <c r="C120" s="30">
        <v>0.8125</v>
      </c>
      <c r="D120" s="30">
        <v>0.958333333333333</v>
      </c>
      <c r="E120" s="4" t="s">
        <v>7</v>
      </c>
      <c r="F120" s="31">
        <v>4592954</v>
      </c>
    </row>
    <row r="121" spans="1:6">
      <c r="A121" s="4" t="s">
        <v>6</v>
      </c>
      <c r="B121" s="29">
        <v>46262</v>
      </c>
      <c r="C121" s="30">
        <v>0.8125</v>
      </c>
      <c r="D121" s="30">
        <v>0.9375</v>
      </c>
      <c r="E121" s="4" t="s">
        <v>7</v>
      </c>
      <c r="F121" s="31">
        <v>4592955</v>
      </c>
    </row>
    <row r="122" spans="1:6">
      <c r="A122" s="4" t="s">
        <v>6</v>
      </c>
      <c r="B122" s="29">
        <v>46262</v>
      </c>
      <c r="C122" s="30">
        <v>0.833333333333333</v>
      </c>
      <c r="D122" s="30">
        <v>0.9375</v>
      </c>
      <c r="E122" s="4" t="s">
        <v>7</v>
      </c>
      <c r="F122" s="31">
        <v>4594875</v>
      </c>
    </row>
    <row r="123" spans="1:6">
      <c r="A123" s="4" t="s">
        <v>6</v>
      </c>
      <c r="B123" s="29">
        <v>46262</v>
      </c>
      <c r="C123" s="30">
        <v>0.833333333333333</v>
      </c>
      <c r="D123" s="30">
        <v>0.9375</v>
      </c>
      <c r="E123" s="4" t="s">
        <v>7</v>
      </c>
      <c r="F123" s="31">
        <v>4594878</v>
      </c>
    </row>
    <row r="124" spans="1:6">
      <c r="A124" s="4" t="s">
        <v>6</v>
      </c>
      <c r="B124" s="29">
        <v>46262</v>
      </c>
      <c r="C124" s="30">
        <v>0.833333333333333</v>
      </c>
      <c r="D124" s="30">
        <v>0.9375</v>
      </c>
      <c r="E124" s="4" t="s">
        <v>7</v>
      </c>
      <c r="F124" s="31">
        <v>4655053</v>
      </c>
    </row>
    <row r="125" spans="1:6">
      <c r="A125" s="4" t="s">
        <v>6</v>
      </c>
      <c r="B125" s="29">
        <v>46262</v>
      </c>
      <c r="C125" s="30">
        <v>0.833333333333333</v>
      </c>
      <c r="D125" s="30">
        <v>0.9375</v>
      </c>
      <c r="E125" s="4" t="s">
        <v>7</v>
      </c>
      <c r="F125" s="31">
        <v>4639814</v>
      </c>
    </row>
    <row r="126" spans="1:6">
      <c r="A126" s="4" t="s">
        <v>6</v>
      </c>
      <c r="B126" s="29">
        <v>46262</v>
      </c>
      <c r="C126" s="30">
        <v>0.833333333333333</v>
      </c>
      <c r="D126" s="30">
        <v>0.9375</v>
      </c>
      <c r="E126" s="4" t="s">
        <v>7</v>
      </c>
      <c r="F126" s="31">
        <v>4592956</v>
      </c>
    </row>
    <row r="127" spans="1:6">
      <c r="A127" s="4" t="s">
        <v>6</v>
      </c>
      <c r="B127" s="29">
        <v>46262</v>
      </c>
      <c r="C127" s="30">
        <v>0.833333333333333</v>
      </c>
      <c r="D127" s="30">
        <v>0.9375</v>
      </c>
      <c r="E127" s="4" t="s">
        <v>7</v>
      </c>
      <c r="F127" s="31">
        <v>4515533</v>
      </c>
    </row>
    <row r="128" spans="1:6">
      <c r="A128" s="4" t="s">
        <v>6</v>
      </c>
      <c r="B128" s="29">
        <v>46262</v>
      </c>
      <c r="C128" s="30">
        <v>0.833333333333333</v>
      </c>
      <c r="D128" s="30">
        <v>0.9375</v>
      </c>
      <c r="E128" s="4" t="s">
        <v>7</v>
      </c>
      <c r="F128" s="31">
        <v>4555685</v>
      </c>
    </row>
    <row r="129" spans="1:6">
      <c r="A129" s="4" t="s">
        <v>6</v>
      </c>
      <c r="B129" s="29">
        <v>46262</v>
      </c>
      <c r="C129" s="30">
        <v>0.833333333333333</v>
      </c>
      <c r="D129" s="30">
        <v>0.916666666666667</v>
      </c>
      <c r="E129" s="4" t="s">
        <v>7</v>
      </c>
      <c r="F129" s="31">
        <v>4592958</v>
      </c>
    </row>
    <row r="130" spans="1:6">
      <c r="A130" s="4" t="s">
        <v>6</v>
      </c>
      <c r="B130" s="29">
        <v>46262</v>
      </c>
      <c r="C130" s="30">
        <v>0.854166666666667</v>
      </c>
      <c r="D130" s="30">
        <v>0.916666666666667</v>
      </c>
      <c r="E130" s="4" t="s">
        <v>7</v>
      </c>
      <c r="F130" s="31">
        <v>4639813</v>
      </c>
    </row>
    <row r="131" spans="1:6">
      <c r="A131" s="4" t="s">
        <v>6</v>
      </c>
      <c r="B131" s="29">
        <v>46262</v>
      </c>
      <c r="C131" s="30">
        <v>0.854166666666667</v>
      </c>
      <c r="D131" s="30">
        <v>0.895833333333333</v>
      </c>
      <c r="E131" s="4" t="s">
        <v>7</v>
      </c>
      <c r="F131" s="31">
        <v>4503208</v>
      </c>
    </row>
    <row r="132" spans="1:6">
      <c r="A132" s="4" t="s">
        <v>6</v>
      </c>
      <c r="B132" s="29">
        <v>46262</v>
      </c>
      <c r="C132" s="30">
        <v>0.854166666666667</v>
      </c>
      <c r="D132" s="30">
        <v>0.895833333333333</v>
      </c>
      <c r="E132" s="4" t="s">
        <v>7</v>
      </c>
      <c r="F132" s="31">
        <v>4503209</v>
      </c>
    </row>
    <row r="133" spans="1:6">
      <c r="A133" s="4" t="s">
        <v>6</v>
      </c>
      <c r="B133" s="29">
        <v>46263</v>
      </c>
      <c r="C133" s="30">
        <v>0.5</v>
      </c>
      <c r="D133" s="30">
        <v>0.75</v>
      </c>
      <c r="E133" s="4" t="s">
        <v>7</v>
      </c>
      <c r="F133" s="31">
        <v>4502586</v>
      </c>
    </row>
    <row r="134" spans="1:6">
      <c r="A134" s="4" t="s">
        <v>6</v>
      </c>
      <c r="B134" s="29">
        <v>46263</v>
      </c>
      <c r="C134" s="30">
        <v>0.5</v>
      </c>
      <c r="D134" s="30">
        <v>0.75</v>
      </c>
      <c r="E134" s="4" t="s">
        <v>7</v>
      </c>
      <c r="F134" s="31">
        <v>4503208</v>
      </c>
    </row>
    <row r="135" spans="1:6">
      <c r="A135" s="4" t="s">
        <v>6</v>
      </c>
      <c r="B135" s="29">
        <v>46263</v>
      </c>
      <c r="C135" s="30">
        <v>0.5</v>
      </c>
      <c r="D135" s="30">
        <v>0.75</v>
      </c>
      <c r="E135" s="4" t="s">
        <v>7</v>
      </c>
      <c r="F135" s="31">
        <v>4503602</v>
      </c>
    </row>
    <row r="136" spans="1:6">
      <c r="A136" s="4" t="s">
        <v>6</v>
      </c>
      <c r="B136" s="29">
        <v>46263</v>
      </c>
      <c r="C136" s="30">
        <v>0.520833333333333</v>
      </c>
      <c r="D136" s="30">
        <v>0.75</v>
      </c>
      <c r="E136" s="4" t="s">
        <v>7</v>
      </c>
      <c r="F136" s="31">
        <v>4515533</v>
      </c>
    </row>
    <row r="137" spans="1:6">
      <c r="A137" s="4" t="s">
        <v>6</v>
      </c>
      <c r="B137" s="29">
        <v>46263</v>
      </c>
      <c r="C137" s="30">
        <v>0.520833333333333</v>
      </c>
      <c r="D137" s="30">
        <v>0.729166666666667</v>
      </c>
      <c r="E137" s="4" t="s">
        <v>7</v>
      </c>
      <c r="F137" s="31">
        <v>4503212</v>
      </c>
    </row>
    <row r="138" spans="1:6">
      <c r="A138" s="4" t="s">
        <v>6</v>
      </c>
      <c r="B138" s="29">
        <v>46263</v>
      </c>
      <c r="C138" s="30">
        <v>0.520833333333333</v>
      </c>
      <c r="D138" s="30">
        <v>0.708333333333333</v>
      </c>
      <c r="E138" s="4" t="s">
        <v>7</v>
      </c>
      <c r="F138" s="31">
        <v>4503209</v>
      </c>
    </row>
    <row r="139" spans="1:6">
      <c r="A139" s="4" t="s">
        <v>6</v>
      </c>
      <c r="B139" s="29">
        <v>46263</v>
      </c>
      <c r="C139" s="30">
        <v>0.541666666666667</v>
      </c>
      <c r="D139" s="30">
        <v>0.708333333333333</v>
      </c>
      <c r="E139" s="4" t="s">
        <v>7</v>
      </c>
      <c r="F139" s="31">
        <v>4639813</v>
      </c>
    </row>
    <row r="140" spans="1:6">
      <c r="A140" s="4" t="s">
        <v>6</v>
      </c>
      <c r="B140" s="29">
        <v>46263</v>
      </c>
      <c r="C140" s="30">
        <v>0.541666666666667</v>
      </c>
      <c r="D140" s="30">
        <v>0.708333333333333</v>
      </c>
      <c r="E140" s="4" t="s">
        <v>7</v>
      </c>
      <c r="F140" s="31">
        <v>4639814</v>
      </c>
    </row>
    <row r="141" spans="1:6">
      <c r="A141" s="4" t="s">
        <v>6</v>
      </c>
      <c r="B141" s="29">
        <v>46263</v>
      </c>
      <c r="C141" s="30">
        <v>0.541666666666667</v>
      </c>
      <c r="D141" s="30">
        <v>0.645833333333333</v>
      </c>
      <c r="E141" s="4" t="s">
        <v>7</v>
      </c>
      <c r="F141" s="31">
        <v>4555685</v>
      </c>
    </row>
    <row r="142" spans="1:6">
      <c r="A142" s="4" t="s">
        <v>6</v>
      </c>
      <c r="B142" s="29">
        <v>46263</v>
      </c>
      <c r="C142" s="30">
        <v>0.541666666666667</v>
      </c>
      <c r="D142" s="30">
        <v>0.645833333333333</v>
      </c>
      <c r="E142" s="4" t="s">
        <v>7</v>
      </c>
      <c r="F142" s="31">
        <v>4503211</v>
      </c>
    </row>
    <row r="143" spans="1:6">
      <c r="A143" s="4" t="s">
        <v>6</v>
      </c>
      <c r="B143" s="29">
        <v>46263</v>
      </c>
      <c r="C143" s="30">
        <v>0.541666666666667</v>
      </c>
      <c r="D143" s="30">
        <v>0.625</v>
      </c>
      <c r="E143" s="4" t="s">
        <v>7</v>
      </c>
      <c r="F143" s="31">
        <v>4529491</v>
      </c>
    </row>
    <row r="144" spans="1:6">
      <c r="A144" s="4" t="s">
        <v>6</v>
      </c>
      <c r="B144" s="29">
        <v>46263</v>
      </c>
      <c r="C144" s="30">
        <v>0.541666666666667</v>
      </c>
      <c r="D144" s="30">
        <v>0.625</v>
      </c>
      <c r="E144" s="4" t="s">
        <v>7</v>
      </c>
      <c r="F144" s="31">
        <v>4655053</v>
      </c>
    </row>
    <row r="145" spans="1:6">
      <c r="A145" s="4" t="s">
        <v>6</v>
      </c>
      <c r="B145" s="29">
        <v>46263</v>
      </c>
      <c r="C145" s="30">
        <v>0.5625</v>
      </c>
      <c r="D145" s="30">
        <v>0.625</v>
      </c>
      <c r="E145" s="4" t="s">
        <v>7</v>
      </c>
      <c r="F145" s="31">
        <v>4662891</v>
      </c>
    </row>
    <row r="146" spans="1:6">
      <c r="A146" s="4" t="s">
        <v>6</v>
      </c>
      <c r="B146" s="29">
        <v>46263</v>
      </c>
      <c r="C146" s="30">
        <v>0.5625</v>
      </c>
      <c r="D146" s="30">
        <v>0.625</v>
      </c>
      <c r="E146" s="4" t="s">
        <v>7</v>
      </c>
      <c r="F146" s="31">
        <v>4594875</v>
      </c>
    </row>
    <row r="147" spans="1:6">
      <c r="A147" s="4" t="s">
        <v>6</v>
      </c>
      <c r="B147" s="29">
        <v>46263</v>
      </c>
      <c r="C147" s="30">
        <v>0.5625</v>
      </c>
      <c r="D147" s="30">
        <v>0.604166666666667</v>
      </c>
      <c r="E147" s="4" t="s">
        <v>7</v>
      </c>
      <c r="F147" s="4">
        <v>4571710</v>
      </c>
    </row>
    <row r="148" spans="1:6">
      <c r="A148" s="4" t="s">
        <v>6</v>
      </c>
      <c r="B148" s="29">
        <v>46263</v>
      </c>
      <c r="C148" s="30">
        <v>0.5625</v>
      </c>
      <c r="D148" s="30">
        <v>0.583333333333333</v>
      </c>
      <c r="E148" s="4" t="s">
        <v>7</v>
      </c>
      <c r="F148" s="31">
        <v>4515532</v>
      </c>
    </row>
    <row r="149" spans="1:6">
      <c r="A149" s="4" t="s">
        <v>6</v>
      </c>
      <c r="B149" s="29">
        <v>46263</v>
      </c>
      <c r="C149" s="30">
        <v>0.75</v>
      </c>
      <c r="D149" s="30">
        <v>1</v>
      </c>
      <c r="E149" s="4" t="s">
        <v>7</v>
      </c>
      <c r="F149" s="31">
        <v>4639813</v>
      </c>
    </row>
    <row r="150" spans="1:6">
      <c r="A150" s="4" t="s">
        <v>6</v>
      </c>
      <c r="B150" s="29">
        <v>46263</v>
      </c>
      <c r="C150" s="30">
        <v>0.75</v>
      </c>
      <c r="D150" s="30">
        <v>1</v>
      </c>
      <c r="E150" s="4" t="s">
        <v>7</v>
      </c>
      <c r="F150" s="31">
        <v>4639814</v>
      </c>
    </row>
    <row r="151" spans="1:6">
      <c r="A151" s="4" t="s">
        <v>6</v>
      </c>
      <c r="B151" s="29">
        <v>46263</v>
      </c>
      <c r="C151" s="30">
        <v>0.75</v>
      </c>
      <c r="D151" s="30">
        <v>1</v>
      </c>
      <c r="E151" s="4" t="s">
        <v>7</v>
      </c>
      <c r="F151" s="31">
        <v>4662891</v>
      </c>
    </row>
    <row r="152" spans="1:6">
      <c r="A152" s="4" t="s">
        <v>6</v>
      </c>
      <c r="B152" s="29">
        <v>46263</v>
      </c>
      <c r="C152" s="30">
        <v>0.75</v>
      </c>
      <c r="D152" s="30">
        <v>0.979166666666667</v>
      </c>
      <c r="E152" s="4" t="s">
        <v>7</v>
      </c>
      <c r="F152" s="4">
        <v>4571710</v>
      </c>
    </row>
    <row r="153" spans="1:6">
      <c r="A153" s="4" t="s">
        <v>6</v>
      </c>
      <c r="B153" s="29">
        <v>46263</v>
      </c>
      <c r="C153" s="30">
        <v>0.75</v>
      </c>
      <c r="D153" s="30">
        <v>0.958333333333333</v>
      </c>
      <c r="E153" s="4" t="s">
        <v>7</v>
      </c>
      <c r="F153" s="31">
        <v>4571713</v>
      </c>
    </row>
    <row r="154" spans="1:6">
      <c r="A154" s="4" t="s">
        <v>6</v>
      </c>
      <c r="B154" s="29">
        <v>46263</v>
      </c>
      <c r="C154" s="30">
        <v>0.791666666666667</v>
      </c>
      <c r="D154" s="30">
        <v>0.958333333333333</v>
      </c>
      <c r="E154" s="4" t="s">
        <v>7</v>
      </c>
      <c r="F154" s="31">
        <v>4529491</v>
      </c>
    </row>
    <row r="155" spans="1:6">
      <c r="A155" s="4" t="s">
        <v>6</v>
      </c>
      <c r="B155" s="29">
        <v>46263</v>
      </c>
      <c r="C155" s="30">
        <v>0.791666666666667</v>
      </c>
      <c r="D155" s="30">
        <v>0.958333333333333</v>
      </c>
      <c r="E155" s="4" t="s">
        <v>7</v>
      </c>
      <c r="F155" s="31">
        <v>4515533</v>
      </c>
    </row>
    <row r="156" spans="1:6">
      <c r="A156" s="4" t="s">
        <v>6</v>
      </c>
      <c r="B156" s="29">
        <v>46263</v>
      </c>
      <c r="C156" s="30">
        <v>0.8125</v>
      </c>
      <c r="D156" s="30">
        <v>0.958333333333333</v>
      </c>
      <c r="E156" s="4" t="s">
        <v>7</v>
      </c>
      <c r="F156" s="31">
        <v>4503212</v>
      </c>
    </row>
    <row r="157" spans="1:6">
      <c r="A157" s="4" t="s">
        <v>6</v>
      </c>
      <c r="B157" s="29">
        <v>46263</v>
      </c>
      <c r="C157" s="30">
        <v>0.8125</v>
      </c>
      <c r="D157" s="30">
        <v>0.958333333333333</v>
      </c>
      <c r="E157" s="4" t="s">
        <v>7</v>
      </c>
      <c r="F157" s="31">
        <v>4503602</v>
      </c>
    </row>
    <row r="158" spans="1:6">
      <c r="A158" s="4" t="s">
        <v>6</v>
      </c>
      <c r="B158" s="29">
        <v>46263</v>
      </c>
      <c r="C158" s="30">
        <v>0.8125</v>
      </c>
      <c r="D158" s="30">
        <v>0.958333333333333</v>
      </c>
      <c r="E158" s="4" t="s">
        <v>7</v>
      </c>
      <c r="F158" s="31">
        <v>4592954</v>
      </c>
    </row>
    <row r="159" spans="1:6">
      <c r="A159" s="4" t="s">
        <v>6</v>
      </c>
      <c r="B159" s="29">
        <v>46263</v>
      </c>
      <c r="C159" s="30">
        <v>0.8125</v>
      </c>
      <c r="D159" s="30">
        <v>0.9375</v>
      </c>
      <c r="E159" s="4" t="s">
        <v>7</v>
      </c>
      <c r="F159" s="31">
        <v>4592955</v>
      </c>
    </row>
    <row r="160" spans="1:6">
      <c r="A160" s="4" t="s">
        <v>6</v>
      </c>
      <c r="B160" s="29">
        <v>46263</v>
      </c>
      <c r="C160" s="30">
        <v>0.833333333333333</v>
      </c>
      <c r="D160" s="30">
        <v>0.9375</v>
      </c>
      <c r="E160" s="4" t="s">
        <v>7</v>
      </c>
      <c r="F160" s="31">
        <v>4594875</v>
      </c>
    </row>
    <row r="161" spans="1:6">
      <c r="A161" s="4" t="s">
        <v>6</v>
      </c>
      <c r="B161" s="29">
        <v>46263</v>
      </c>
      <c r="C161" s="30">
        <v>0.833333333333333</v>
      </c>
      <c r="D161" s="30">
        <v>0.9375</v>
      </c>
      <c r="E161" s="4" t="s">
        <v>7</v>
      </c>
      <c r="F161" s="31">
        <v>4594878</v>
      </c>
    </row>
    <row r="162" spans="1:6">
      <c r="A162" s="4" t="s">
        <v>6</v>
      </c>
      <c r="B162" s="29">
        <v>46263</v>
      </c>
      <c r="C162" s="30">
        <v>0.833333333333333</v>
      </c>
      <c r="D162" s="30">
        <v>0.9375</v>
      </c>
      <c r="E162" s="4" t="s">
        <v>7</v>
      </c>
      <c r="F162" s="31">
        <v>4503209</v>
      </c>
    </row>
    <row r="163" spans="1:6">
      <c r="A163" s="4" t="s">
        <v>6</v>
      </c>
      <c r="B163" s="29">
        <v>46263</v>
      </c>
      <c r="C163" s="30">
        <v>0.833333333333333</v>
      </c>
      <c r="D163" s="30">
        <v>0.9375</v>
      </c>
      <c r="E163" s="4" t="s">
        <v>7</v>
      </c>
      <c r="F163" s="31">
        <v>4503211</v>
      </c>
    </row>
    <row r="164" spans="1:6">
      <c r="A164" s="4" t="s">
        <v>6</v>
      </c>
      <c r="B164" s="29">
        <v>46263</v>
      </c>
      <c r="C164" s="30">
        <v>0.833333333333333</v>
      </c>
      <c r="D164" s="30">
        <v>0.9375</v>
      </c>
      <c r="E164" s="4" t="s">
        <v>7</v>
      </c>
      <c r="F164" s="31">
        <v>4655053</v>
      </c>
    </row>
    <row r="165" spans="1:6">
      <c r="A165" s="4" t="s">
        <v>6</v>
      </c>
      <c r="B165" s="29">
        <v>46263</v>
      </c>
      <c r="C165" s="30">
        <v>0.833333333333333</v>
      </c>
      <c r="D165" s="30">
        <v>0.9375</v>
      </c>
      <c r="E165" s="4" t="s">
        <v>7</v>
      </c>
      <c r="F165" s="31">
        <v>4555685</v>
      </c>
    </row>
    <row r="166" spans="1:6">
      <c r="A166" s="4" t="s">
        <v>6</v>
      </c>
      <c r="B166" s="29">
        <v>46263</v>
      </c>
      <c r="C166" s="30">
        <v>0.833333333333333</v>
      </c>
      <c r="D166" s="30">
        <v>0.9375</v>
      </c>
      <c r="E166" s="4" t="s">
        <v>7</v>
      </c>
      <c r="F166" s="31">
        <v>4592956</v>
      </c>
    </row>
    <row r="167" spans="1:6">
      <c r="A167" s="4" t="s">
        <v>6</v>
      </c>
      <c r="B167" s="29">
        <v>46263</v>
      </c>
      <c r="C167" s="30">
        <v>0.833333333333333</v>
      </c>
      <c r="D167" s="30">
        <v>0.916666666666667</v>
      </c>
      <c r="E167" s="4" t="s">
        <v>7</v>
      </c>
      <c r="F167" s="31">
        <v>4592958</v>
      </c>
    </row>
    <row r="168" spans="1:6">
      <c r="A168" s="4" t="s">
        <v>6</v>
      </c>
      <c r="B168" s="29">
        <v>46263</v>
      </c>
      <c r="C168" s="30">
        <v>0.854166666666667</v>
      </c>
      <c r="D168" s="30">
        <v>0.916666666666667</v>
      </c>
      <c r="E168" s="4" t="s">
        <v>7</v>
      </c>
      <c r="F168" s="31">
        <v>4502586</v>
      </c>
    </row>
    <row r="169" spans="1:6">
      <c r="A169" s="4" t="s">
        <v>6</v>
      </c>
      <c r="B169" s="29">
        <v>46263</v>
      </c>
      <c r="C169" s="30">
        <v>0.854166666666667</v>
      </c>
      <c r="D169" s="30">
        <v>0.895833333333333</v>
      </c>
      <c r="E169" s="4" t="s">
        <v>7</v>
      </c>
      <c r="F169" s="31">
        <v>4503208</v>
      </c>
    </row>
    <row r="170" spans="1:6">
      <c r="A170" s="4" t="s">
        <v>6</v>
      </c>
      <c r="B170" s="29">
        <v>46263</v>
      </c>
      <c r="C170" s="30">
        <v>0.854166666666667</v>
      </c>
      <c r="D170" s="30">
        <v>0.875</v>
      </c>
      <c r="E170" s="4" t="s">
        <v>7</v>
      </c>
      <c r="F170" s="31">
        <v>4515532</v>
      </c>
    </row>
    <row r="171" spans="1:6">
      <c r="A171" s="4" t="s">
        <v>6</v>
      </c>
      <c r="B171" s="29">
        <v>46264</v>
      </c>
      <c r="C171" s="30">
        <v>0.5</v>
      </c>
      <c r="D171" s="30">
        <v>0.75</v>
      </c>
      <c r="E171" s="4" t="s">
        <v>7</v>
      </c>
      <c r="F171" s="31">
        <v>4515533</v>
      </c>
    </row>
    <row r="172" spans="1:6">
      <c r="A172" s="4" t="s">
        <v>6</v>
      </c>
      <c r="B172" s="29">
        <v>46264</v>
      </c>
      <c r="C172" s="30">
        <v>0.5</v>
      </c>
      <c r="D172" s="30">
        <v>0.75</v>
      </c>
      <c r="E172" s="4" t="s">
        <v>7</v>
      </c>
      <c r="F172" s="31">
        <v>4503208</v>
      </c>
    </row>
    <row r="173" spans="1:6">
      <c r="A173" s="4" t="s">
        <v>6</v>
      </c>
      <c r="B173" s="29">
        <v>46264</v>
      </c>
      <c r="C173" s="30">
        <v>0.5</v>
      </c>
      <c r="D173" s="30">
        <v>0.75</v>
      </c>
      <c r="E173" s="4" t="s">
        <v>7</v>
      </c>
      <c r="F173" s="31">
        <v>4503212</v>
      </c>
    </row>
    <row r="174" spans="1:6">
      <c r="A174" s="4" t="s">
        <v>6</v>
      </c>
      <c r="B174" s="29">
        <v>46264</v>
      </c>
      <c r="C174" s="30">
        <v>0.520833333333333</v>
      </c>
      <c r="D174" s="30">
        <v>0.75</v>
      </c>
      <c r="E174" s="4" t="s">
        <v>7</v>
      </c>
      <c r="F174" s="31">
        <v>4503211</v>
      </c>
    </row>
    <row r="175" spans="1:6">
      <c r="A175" s="4" t="s">
        <v>6</v>
      </c>
      <c r="B175" s="29">
        <v>46264</v>
      </c>
      <c r="C175" s="30">
        <v>0.520833333333333</v>
      </c>
      <c r="D175" s="30">
        <v>0.729166666666667</v>
      </c>
      <c r="E175" s="4" t="s">
        <v>7</v>
      </c>
      <c r="F175" s="31">
        <v>4592956</v>
      </c>
    </row>
    <row r="176" spans="1:6">
      <c r="A176" s="4" t="s">
        <v>6</v>
      </c>
      <c r="B176" s="29">
        <v>46264</v>
      </c>
      <c r="C176" s="30">
        <v>0.520833333333333</v>
      </c>
      <c r="D176" s="30">
        <v>0.708333333333333</v>
      </c>
      <c r="E176" s="4" t="s">
        <v>7</v>
      </c>
      <c r="F176" s="31">
        <v>4502586</v>
      </c>
    </row>
    <row r="177" spans="1:6">
      <c r="A177" s="4" t="s">
        <v>6</v>
      </c>
      <c r="B177" s="29">
        <v>46264</v>
      </c>
      <c r="C177" s="30">
        <v>0.541666666666667</v>
      </c>
      <c r="D177" s="30">
        <v>0.708333333333333</v>
      </c>
      <c r="E177" s="4" t="s">
        <v>7</v>
      </c>
      <c r="F177" s="31">
        <v>4515532</v>
      </c>
    </row>
    <row r="178" spans="1:6">
      <c r="A178" s="4" t="s">
        <v>6</v>
      </c>
      <c r="B178" s="29">
        <v>46264</v>
      </c>
      <c r="C178" s="30">
        <v>0.541666666666667</v>
      </c>
      <c r="D178" s="30">
        <v>0.708333333333333</v>
      </c>
      <c r="E178" s="4" t="s">
        <v>7</v>
      </c>
      <c r="F178" s="31">
        <v>4655053</v>
      </c>
    </row>
    <row r="179" spans="1:6">
      <c r="A179" s="4" t="s">
        <v>6</v>
      </c>
      <c r="B179" s="29">
        <v>46264</v>
      </c>
      <c r="C179" s="30">
        <v>0.541666666666667</v>
      </c>
      <c r="D179" s="30">
        <v>0.645833333333333</v>
      </c>
      <c r="E179" s="4" t="s">
        <v>7</v>
      </c>
      <c r="F179" s="31">
        <v>4555685</v>
      </c>
    </row>
    <row r="180" spans="1:6">
      <c r="A180" s="4" t="s">
        <v>6</v>
      </c>
      <c r="B180" s="29">
        <v>46264</v>
      </c>
      <c r="C180" s="30">
        <v>0.541666666666667</v>
      </c>
      <c r="D180" s="30">
        <v>0.645833333333333</v>
      </c>
      <c r="E180" s="4" t="s">
        <v>7</v>
      </c>
      <c r="F180" s="31">
        <v>4529491</v>
      </c>
    </row>
    <row r="181" spans="1:6">
      <c r="A181" s="4" t="s">
        <v>6</v>
      </c>
      <c r="B181" s="29">
        <v>46264</v>
      </c>
      <c r="C181" s="30">
        <v>0.541666666666667</v>
      </c>
      <c r="D181" s="30">
        <v>0.625</v>
      </c>
      <c r="E181" s="4" t="s">
        <v>7</v>
      </c>
      <c r="F181" s="31">
        <v>4592954</v>
      </c>
    </row>
    <row r="182" spans="1:6">
      <c r="A182" s="4" t="s">
        <v>6</v>
      </c>
      <c r="B182" s="29">
        <v>46264</v>
      </c>
      <c r="C182" s="30">
        <v>0.541666666666667</v>
      </c>
      <c r="D182" s="30">
        <v>0.625</v>
      </c>
      <c r="E182" s="4" t="s">
        <v>7</v>
      </c>
      <c r="F182" s="4">
        <v>4571710</v>
      </c>
    </row>
    <row r="183" spans="1:6">
      <c r="A183" s="4" t="s">
        <v>6</v>
      </c>
      <c r="B183" s="29">
        <v>46264</v>
      </c>
      <c r="C183" s="30">
        <v>0.5625</v>
      </c>
      <c r="D183" s="30">
        <v>0.625</v>
      </c>
      <c r="E183" s="4" t="s">
        <v>7</v>
      </c>
      <c r="F183" s="31">
        <v>4571713</v>
      </c>
    </row>
    <row r="184" spans="1:6">
      <c r="A184" s="4" t="s">
        <v>6</v>
      </c>
      <c r="B184" s="29">
        <v>46264</v>
      </c>
      <c r="C184" s="30">
        <v>0.5625</v>
      </c>
      <c r="D184" s="30">
        <v>0.625</v>
      </c>
      <c r="E184" s="4" t="s">
        <v>7</v>
      </c>
      <c r="F184" s="31">
        <v>4503602</v>
      </c>
    </row>
    <row r="185" spans="1:6">
      <c r="A185" s="4" t="s">
        <v>6</v>
      </c>
      <c r="B185" s="29">
        <v>46264</v>
      </c>
      <c r="C185" s="30">
        <v>0.5625</v>
      </c>
      <c r="D185" s="30">
        <v>0.604166666666667</v>
      </c>
      <c r="E185" s="4" t="s">
        <v>7</v>
      </c>
      <c r="F185" s="31">
        <v>4503209</v>
      </c>
    </row>
    <row r="186" spans="1:6">
      <c r="A186" s="4" t="s">
        <v>6</v>
      </c>
      <c r="B186" s="29">
        <v>46264</v>
      </c>
      <c r="C186" s="30">
        <v>0.5625</v>
      </c>
      <c r="D186" s="30">
        <v>0.583333333333333</v>
      </c>
      <c r="E186" s="4" t="s">
        <v>7</v>
      </c>
      <c r="F186" s="31">
        <v>4639813</v>
      </c>
    </row>
    <row r="187" spans="1:6">
      <c r="A187" s="4" t="s">
        <v>6</v>
      </c>
      <c r="B187" s="29">
        <v>46264</v>
      </c>
      <c r="C187" s="30">
        <v>0.75</v>
      </c>
      <c r="D187" s="30">
        <v>1</v>
      </c>
      <c r="E187" s="4" t="s">
        <v>7</v>
      </c>
      <c r="F187" s="31">
        <v>4639813</v>
      </c>
    </row>
    <row r="188" spans="1:6">
      <c r="A188" s="4" t="s">
        <v>6</v>
      </c>
      <c r="B188" s="29">
        <v>46264</v>
      </c>
      <c r="C188" s="30">
        <v>0.75</v>
      </c>
      <c r="D188" s="30">
        <v>1</v>
      </c>
      <c r="E188" s="4" t="s">
        <v>7</v>
      </c>
      <c r="F188" s="31">
        <v>4655053</v>
      </c>
    </row>
    <row r="189" spans="1:6">
      <c r="A189" s="4" t="s">
        <v>6</v>
      </c>
      <c r="B189" s="29">
        <v>46264</v>
      </c>
      <c r="C189" s="30">
        <v>0.75</v>
      </c>
      <c r="D189" s="30">
        <v>1</v>
      </c>
      <c r="E189" s="4" t="s">
        <v>7</v>
      </c>
      <c r="F189" s="31">
        <v>4639814</v>
      </c>
    </row>
    <row r="190" spans="1:6">
      <c r="A190" s="4" t="s">
        <v>6</v>
      </c>
      <c r="B190" s="29">
        <v>46264</v>
      </c>
      <c r="C190" s="30">
        <v>0.75</v>
      </c>
      <c r="D190" s="30">
        <v>0.979166666666667</v>
      </c>
      <c r="E190" s="4" t="s">
        <v>7</v>
      </c>
      <c r="F190" s="4">
        <v>4571710</v>
      </c>
    </row>
    <row r="191" spans="1:6">
      <c r="A191" s="4" t="s">
        <v>6</v>
      </c>
      <c r="B191" s="29">
        <v>46264</v>
      </c>
      <c r="C191" s="30">
        <v>0.75</v>
      </c>
      <c r="D191" s="30">
        <v>0.958333333333333</v>
      </c>
      <c r="E191" s="4" t="s">
        <v>7</v>
      </c>
      <c r="F191" s="31">
        <v>4571713</v>
      </c>
    </row>
    <row r="192" spans="1:6">
      <c r="A192" s="4" t="s">
        <v>6</v>
      </c>
      <c r="B192" s="29">
        <v>46264</v>
      </c>
      <c r="C192" s="30">
        <v>0.791666666666667</v>
      </c>
      <c r="D192" s="30">
        <v>0.958333333333333</v>
      </c>
      <c r="E192" s="4" t="s">
        <v>7</v>
      </c>
      <c r="F192" s="31">
        <v>4592955</v>
      </c>
    </row>
    <row r="193" spans="1:6">
      <c r="A193" s="4" t="s">
        <v>6</v>
      </c>
      <c r="B193" s="29">
        <v>46264</v>
      </c>
      <c r="C193" s="30">
        <v>0.791666666666667</v>
      </c>
      <c r="D193" s="30">
        <v>0.958333333333333</v>
      </c>
      <c r="E193" s="4" t="s">
        <v>7</v>
      </c>
      <c r="F193" s="31">
        <v>4555685</v>
      </c>
    </row>
    <row r="194" spans="1:6">
      <c r="A194" s="4" t="s">
        <v>6</v>
      </c>
      <c r="B194" s="29">
        <v>46264</v>
      </c>
      <c r="C194" s="30">
        <v>0.8125</v>
      </c>
      <c r="D194" s="30">
        <v>0.958333333333333</v>
      </c>
      <c r="E194" s="4" t="s">
        <v>7</v>
      </c>
      <c r="F194" s="31">
        <v>4662891</v>
      </c>
    </row>
    <row r="195" spans="1:6">
      <c r="A195" s="4" t="s">
        <v>6</v>
      </c>
      <c r="B195" s="29">
        <v>46264</v>
      </c>
      <c r="C195" s="30">
        <v>0.8125</v>
      </c>
      <c r="D195" s="30">
        <v>0.958333333333333</v>
      </c>
      <c r="E195" s="4" t="s">
        <v>7</v>
      </c>
      <c r="F195" s="31">
        <v>4503602</v>
      </c>
    </row>
    <row r="196" spans="1:6">
      <c r="A196" s="4" t="s">
        <v>6</v>
      </c>
      <c r="B196" s="29">
        <v>46264</v>
      </c>
      <c r="C196" s="30">
        <v>0.8125</v>
      </c>
      <c r="D196" s="30">
        <v>0.958333333333333</v>
      </c>
      <c r="E196" s="4" t="s">
        <v>7</v>
      </c>
      <c r="F196" s="31">
        <v>4592954</v>
      </c>
    </row>
    <row r="197" spans="1:6">
      <c r="A197" s="4" t="s">
        <v>6</v>
      </c>
      <c r="B197" s="29">
        <v>46264</v>
      </c>
      <c r="C197" s="30">
        <v>0.8125</v>
      </c>
      <c r="D197" s="30">
        <v>0.9375</v>
      </c>
      <c r="E197" s="4" t="s">
        <v>7</v>
      </c>
      <c r="F197" s="31">
        <v>4529491</v>
      </c>
    </row>
    <row r="198" spans="1:6">
      <c r="A198" s="4" t="s">
        <v>6</v>
      </c>
      <c r="B198" s="29">
        <v>46264</v>
      </c>
      <c r="C198" s="30">
        <v>0.833333333333333</v>
      </c>
      <c r="D198" s="30">
        <v>0.9375</v>
      </c>
      <c r="E198" s="4" t="s">
        <v>7</v>
      </c>
      <c r="F198" s="31">
        <v>4502586</v>
      </c>
    </row>
    <row r="199" spans="1:6">
      <c r="A199" s="4" t="s">
        <v>6</v>
      </c>
      <c r="B199" s="29">
        <v>46264</v>
      </c>
      <c r="C199" s="30">
        <v>0.833333333333333</v>
      </c>
      <c r="D199" s="30">
        <v>0.9375</v>
      </c>
      <c r="E199" s="4" t="s">
        <v>7</v>
      </c>
      <c r="F199" s="31">
        <v>4503208</v>
      </c>
    </row>
    <row r="200" spans="1:6">
      <c r="A200" s="4" t="s">
        <v>6</v>
      </c>
      <c r="B200" s="29">
        <v>46264</v>
      </c>
      <c r="C200" s="30">
        <v>0.833333333333333</v>
      </c>
      <c r="D200" s="30">
        <v>0.9375</v>
      </c>
      <c r="E200" s="4" t="s">
        <v>7</v>
      </c>
      <c r="F200" s="31">
        <v>4503209</v>
      </c>
    </row>
    <row r="201" spans="1:6">
      <c r="A201" s="4" t="s">
        <v>6</v>
      </c>
      <c r="B201" s="29">
        <v>46264</v>
      </c>
      <c r="C201" s="30">
        <v>0.833333333333333</v>
      </c>
      <c r="D201" s="30">
        <v>0.9375</v>
      </c>
      <c r="E201" s="4" t="s">
        <v>7</v>
      </c>
      <c r="F201" s="31">
        <v>4503211</v>
      </c>
    </row>
    <row r="202" spans="1:6">
      <c r="A202" s="4" t="s">
        <v>6</v>
      </c>
      <c r="B202" s="29">
        <v>46264</v>
      </c>
      <c r="C202" s="30">
        <v>0.833333333333333</v>
      </c>
      <c r="D202" s="30">
        <v>0.9375</v>
      </c>
      <c r="E202" s="4" t="s">
        <v>7</v>
      </c>
      <c r="F202" s="31">
        <v>4515532</v>
      </c>
    </row>
    <row r="203" spans="1:6">
      <c r="A203" s="4" t="s">
        <v>6</v>
      </c>
      <c r="B203" s="29">
        <v>46264</v>
      </c>
      <c r="C203" s="30">
        <v>0.833333333333333</v>
      </c>
      <c r="D203" s="30">
        <v>0.9375</v>
      </c>
      <c r="E203" s="4" t="s">
        <v>7</v>
      </c>
      <c r="F203" s="31">
        <v>4515533</v>
      </c>
    </row>
    <row r="204" spans="1:6">
      <c r="A204" s="4" t="s">
        <v>6</v>
      </c>
      <c r="B204" s="29">
        <v>46264</v>
      </c>
      <c r="C204" s="30">
        <v>0.833333333333333</v>
      </c>
      <c r="D204" s="30">
        <v>0.9375</v>
      </c>
      <c r="E204" s="4" t="s">
        <v>7</v>
      </c>
      <c r="F204" s="31">
        <v>4592956</v>
      </c>
    </row>
    <row r="205" spans="1:6">
      <c r="A205" s="4" t="s">
        <v>6</v>
      </c>
      <c r="B205" s="29">
        <v>46264</v>
      </c>
      <c r="C205" s="30">
        <v>0.833333333333333</v>
      </c>
      <c r="D205" s="30">
        <v>0.916666666666667</v>
      </c>
      <c r="E205" s="4" t="s">
        <v>7</v>
      </c>
      <c r="F205" s="31">
        <v>4592958</v>
      </c>
    </row>
    <row r="206" spans="1:6">
      <c r="A206" s="4" t="s">
        <v>6</v>
      </c>
      <c r="B206" s="29">
        <v>46264</v>
      </c>
      <c r="C206" s="30">
        <v>0.854166666666667</v>
      </c>
      <c r="D206" s="30">
        <v>0.916666666666667</v>
      </c>
      <c r="E206" s="4" t="s">
        <v>7</v>
      </c>
      <c r="F206" s="31">
        <v>4594875</v>
      </c>
    </row>
    <row r="207" spans="1:6">
      <c r="A207" s="4" t="s">
        <v>6</v>
      </c>
      <c r="B207" s="29">
        <v>46264</v>
      </c>
      <c r="C207" s="30">
        <v>0.854166666666667</v>
      </c>
      <c r="D207" s="30">
        <v>0.895833333333333</v>
      </c>
      <c r="E207" s="4" t="s">
        <v>7</v>
      </c>
      <c r="F207" s="31">
        <v>4594878</v>
      </c>
    </row>
    <row r="208" spans="1:6">
      <c r="A208" s="4" t="s">
        <v>6</v>
      </c>
      <c r="B208" s="29">
        <v>46264</v>
      </c>
      <c r="C208" s="30">
        <v>0.854166666666667</v>
      </c>
      <c r="D208" s="30">
        <v>0.895833333333333</v>
      </c>
      <c r="E208" s="4" t="s">
        <v>7</v>
      </c>
      <c r="F208" s="31">
        <v>4503212</v>
      </c>
    </row>
    <row r="209" spans="1:6">
      <c r="A209" s="4" t="s">
        <v>6</v>
      </c>
      <c r="B209" s="29"/>
      <c r="C209" s="30"/>
      <c r="D209" s="30"/>
      <c r="E209" s="4"/>
      <c r="F209" s="31"/>
    </row>
    <row r="210" spans="1:6">
      <c r="A210" s="4" t="s">
        <v>6</v>
      </c>
      <c r="B210" s="29"/>
      <c r="C210" s="30"/>
      <c r="D210" s="30"/>
      <c r="E210" s="4"/>
      <c r="F210" s="31"/>
    </row>
    <row r="211" spans="1:6">
      <c r="A211" s="4" t="s">
        <v>6</v>
      </c>
      <c r="B211" s="29"/>
      <c r="C211" s="30"/>
      <c r="D211" s="30"/>
      <c r="E211" s="4"/>
      <c r="F211" s="3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8:L38"/>
  <sheetViews>
    <sheetView topLeftCell="A15" workbookViewId="0">
      <selection activeCell="F33" sqref="F33"/>
    </sheetView>
  </sheetViews>
  <sheetFormatPr defaultColWidth="8.88888888888889" defaultRowHeight="14.4"/>
  <cols>
    <col min="11" max="11" width="19.8888888888889" customWidth="1"/>
  </cols>
  <sheetData>
    <row r="8" ht="15.15"/>
    <row r="9" spans="2:12">
      <c r="B9" s="1">
        <v>1</v>
      </c>
      <c r="C9" s="2">
        <v>4502586</v>
      </c>
      <c r="D9" s="3" t="s">
        <v>8</v>
      </c>
      <c r="E9" s="4"/>
      <c r="F9" s="5" t="e">
        <f ca="1">SUMIF('MushDrink Glovo 2408 AL 3008'!F2:F211,C9,'MushDrink Glovo 2408 AL 3008'!#REF!)</f>
        <v>#REF!</v>
      </c>
      <c r="G9">
        <v>40</v>
      </c>
      <c r="H9" t="e">
        <f ca="1" t="shared" ref="H9:H21" si="0">+F9-G9</f>
        <v>#REF!</v>
      </c>
      <c r="K9" s="6" t="s">
        <v>8</v>
      </c>
      <c r="L9" s="7">
        <v>4502586</v>
      </c>
    </row>
    <row r="10" spans="2:12">
      <c r="B10" s="8">
        <v>2</v>
      </c>
      <c r="C10" s="2">
        <v>4503208</v>
      </c>
      <c r="D10" s="3" t="s">
        <v>9</v>
      </c>
      <c r="E10" s="4"/>
      <c r="F10" s="9" t="e">
        <f ca="1">SUMIF('MushDrink Glovo 2408 AL 3008'!F2:F211,C10,'MushDrink Glovo 2408 AL 3008'!#REF!)</f>
        <v>#REF!</v>
      </c>
      <c r="G10">
        <v>40</v>
      </c>
      <c r="H10" t="e">
        <f ca="1" t="shared" si="0"/>
        <v>#REF!</v>
      </c>
      <c r="K10" s="6" t="s">
        <v>9</v>
      </c>
      <c r="L10" s="7">
        <v>4503208</v>
      </c>
    </row>
    <row r="11" spans="2:12">
      <c r="B11" s="8">
        <v>3</v>
      </c>
      <c r="C11" s="2">
        <v>4503209</v>
      </c>
      <c r="D11" s="3" t="s">
        <v>10</v>
      </c>
      <c r="E11" s="4"/>
      <c r="F11" s="9" t="e">
        <f ca="1">SUMIF('MushDrink Glovo 2408 AL 3008'!F2:F211,C11,'MushDrink Glovo 2408 AL 3008'!#REF!)</f>
        <v>#REF!</v>
      </c>
      <c r="G11">
        <v>40</v>
      </c>
      <c r="H11" t="e">
        <f ca="1" t="shared" si="0"/>
        <v>#REF!</v>
      </c>
      <c r="K11" s="6" t="s">
        <v>10</v>
      </c>
      <c r="L11" s="7">
        <v>4503209</v>
      </c>
    </row>
    <row r="12" spans="2:12">
      <c r="B12" s="8">
        <v>4</v>
      </c>
      <c r="C12" s="2">
        <v>4503211</v>
      </c>
      <c r="D12" s="3" t="s">
        <v>11</v>
      </c>
      <c r="E12" s="4"/>
      <c r="F12" s="10" t="e">
        <f ca="1">SUMIF('MushDrink Glovo 2408 AL 3008'!F2:F211,C12,'MushDrink Glovo 2408 AL 3008'!#REF!)</f>
        <v>#REF!</v>
      </c>
      <c r="G12">
        <v>40</v>
      </c>
      <c r="H12" t="e">
        <f ca="1" t="shared" si="0"/>
        <v>#REF!</v>
      </c>
      <c r="K12" s="6" t="s">
        <v>11</v>
      </c>
      <c r="L12" s="7">
        <v>4503211</v>
      </c>
    </row>
    <row r="13" spans="2:12">
      <c r="B13" s="8">
        <v>5</v>
      </c>
      <c r="C13" s="2">
        <v>4503212</v>
      </c>
      <c r="D13" s="3" t="s">
        <v>12</v>
      </c>
      <c r="E13" s="4"/>
      <c r="F13" s="10" t="e">
        <f ca="1">SUMIF('MushDrink Glovo 2408 AL 3008'!F2:F211,C13,'MushDrink Glovo 2408 AL 3008'!#REF!)</f>
        <v>#REF!</v>
      </c>
      <c r="G13">
        <v>40</v>
      </c>
      <c r="H13" t="e">
        <f ca="1" t="shared" si="0"/>
        <v>#REF!</v>
      </c>
      <c r="K13" s="6" t="s">
        <v>12</v>
      </c>
      <c r="L13" s="7">
        <v>4503212</v>
      </c>
    </row>
    <row r="14" spans="2:12">
      <c r="B14" s="8">
        <v>6</v>
      </c>
      <c r="C14" s="2">
        <v>4503602</v>
      </c>
      <c r="D14" s="3" t="s">
        <v>13</v>
      </c>
      <c r="E14" s="4"/>
      <c r="F14" s="10" t="e">
        <f ca="1">SUMIF('MushDrink Glovo 2408 AL 3008'!F2:F211,C14,'MushDrink Glovo 2408 AL 3008'!#REF!)</f>
        <v>#REF!</v>
      </c>
      <c r="G14">
        <v>40</v>
      </c>
      <c r="H14" t="e">
        <f ca="1" t="shared" si="0"/>
        <v>#REF!</v>
      </c>
      <c r="K14" s="6" t="s">
        <v>13</v>
      </c>
      <c r="L14" s="7">
        <v>4503602</v>
      </c>
    </row>
    <row r="15" spans="2:12">
      <c r="B15" s="8">
        <v>7</v>
      </c>
      <c r="C15" s="2">
        <v>4515532</v>
      </c>
      <c r="D15" s="3" t="s">
        <v>14</v>
      </c>
      <c r="E15" s="4"/>
      <c r="F15" s="10" t="e">
        <f ca="1">SUMIF('MushDrink Glovo 2408 AL 3008'!F2:F211,C15,'MushDrink Glovo 2408 AL 3008'!#REF!)</f>
        <v>#REF!</v>
      </c>
      <c r="G15">
        <v>40</v>
      </c>
      <c r="H15" t="e">
        <f ca="1" t="shared" si="0"/>
        <v>#REF!</v>
      </c>
      <c r="K15" s="6" t="s">
        <v>14</v>
      </c>
      <c r="L15" s="7">
        <v>4515532</v>
      </c>
    </row>
    <row r="16" spans="2:12">
      <c r="B16" s="8">
        <v>8</v>
      </c>
      <c r="C16" s="2">
        <v>4515533</v>
      </c>
      <c r="D16" s="3" t="s">
        <v>15</v>
      </c>
      <c r="E16" s="4"/>
      <c r="F16" s="10" t="e">
        <f ca="1">SUMIF('MushDrink Glovo 2408 AL 3008'!F2:F211,C16,'MushDrink Glovo 2408 AL 3008'!#REF!)</f>
        <v>#REF!</v>
      </c>
      <c r="G16">
        <v>40</v>
      </c>
      <c r="H16" t="e">
        <f ca="1" t="shared" si="0"/>
        <v>#REF!</v>
      </c>
      <c r="K16" s="6" t="s">
        <v>15</v>
      </c>
      <c r="L16" s="7">
        <v>4515533</v>
      </c>
    </row>
    <row r="17" spans="2:12">
      <c r="B17" s="8">
        <v>9</v>
      </c>
      <c r="C17" s="2">
        <v>4529491</v>
      </c>
      <c r="D17" s="3" t="s">
        <v>16</v>
      </c>
      <c r="E17" s="4"/>
      <c r="F17" s="10" t="e">
        <f ca="1">SUMIF('MushDrink Glovo 2408 AL 3008'!F2:F211,C17,'MushDrink Glovo 2408 AL 3008'!#REF!)</f>
        <v>#REF!</v>
      </c>
      <c r="G17">
        <v>30</v>
      </c>
      <c r="H17" t="e">
        <f ca="1" t="shared" si="0"/>
        <v>#REF!</v>
      </c>
      <c r="K17" s="6" t="s">
        <v>16</v>
      </c>
      <c r="L17" s="7">
        <v>4529491</v>
      </c>
    </row>
    <row r="18" spans="2:12">
      <c r="B18" s="8">
        <v>10</v>
      </c>
      <c r="C18" s="2">
        <v>4555685</v>
      </c>
      <c r="D18" s="3" t="s">
        <v>17</v>
      </c>
      <c r="E18" s="4"/>
      <c r="F18" s="10" t="e">
        <f ca="1">SUMIF('MushDrink Glovo 2408 AL 3008'!F2:F211,C18,'MushDrink Glovo 2408 AL 3008'!#REF!)</f>
        <v>#REF!</v>
      </c>
      <c r="G18">
        <v>30</v>
      </c>
      <c r="H18" t="e">
        <f ca="1" t="shared" si="0"/>
        <v>#REF!</v>
      </c>
      <c r="K18" s="6" t="s">
        <v>17</v>
      </c>
      <c r="L18" s="7">
        <v>4555685</v>
      </c>
    </row>
    <row r="19" spans="2:12">
      <c r="B19" s="8">
        <v>11</v>
      </c>
      <c r="C19" s="3">
        <v>4571710</v>
      </c>
      <c r="D19" s="3" t="s">
        <v>18</v>
      </c>
      <c r="E19" s="4"/>
      <c r="F19" s="10" t="e">
        <f ca="1">SUMIF('MushDrink Glovo 2408 AL 3008'!F2:F211,C19,'MushDrink Glovo 2408 AL 3008'!#REF!)</f>
        <v>#REF!</v>
      </c>
      <c r="G19">
        <v>30</v>
      </c>
      <c r="H19" t="e">
        <f ca="1" t="shared" si="0"/>
        <v>#REF!</v>
      </c>
      <c r="K19" s="6" t="s">
        <v>19</v>
      </c>
      <c r="L19" s="6">
        <v>4571710</v>
      </c>
    </row>
    <row r="20" spans="2:12">
      <c r="B20" s="8">
        <v>12</v>
      </c>
      <c r="C20" s="2">
        <v>4571713</v>
      </c>
      <c r="D20" s="3" t="s">
        <v>20</v>
      </c>
      <c r="E20" s="4"/>
      <c r="F20" s="10" t="e">
        <f ca="1">SUMIF('MushDrink Glovo 2408 AL 3008'!F2:F211,C20,'MushDrink Glovo 2408 AL 3008'!#REF!)</f>
        <v>#REF!</v>
      </c>
      <c r="G20">
        <v>30</v>
      </c>
      <c r="H20" t="e">
        <f ca="1" t="shared" si="0"/>
        <v>#REF!</v>
      </c>
      <c r="K20" s="6" t="s">
        <v>20</v>
      </c>
      <c r="L20" s="7">
        <v>4571713</v>
      </c>
    </row>
    <row r="21" spans="2:12">
      <c r="B21" s="8">
        <v>13</v>
      </c>
      <c r="C21" s="2">
        <v>4592954</v>
      </c>
      <c r="D21" s="3" t="s">
        <v>21</v>
      </c>
      <c r="E21" s="4"/>
      <c r="F21" s="10" t="e">
        <f ca="1">SUMIF('MushDrink Glovo 2408 AL 3008'!F2:F211,C21,'MushDrink Glovo 2408 AL 3008'!#REF!)</f>
        <v>#REF!</v>
      </c>
      <c r="G21">
        <v>20</v>
      </c>
      <c r="H21" t="e">
        <f ca="1" t="shared" si="0"/>
        <v>#REF!</v>
      </c>
      <c r="K21" s="6" t="s">
        <v>21</v>
      </c>
      <c r="L21" s="7">
        <v>4592954</v>
      </c>
    </row>
    <row r="22" spans="2:12">
      <c r="B22" s="8">
        <v>14</v>
      </c>
      <c r="C22" s="2">
        <v>4592955</v>
      </c>
      <c r="D22" s="11" t="s">
        <v>22</v>
      </c>
      <c r="E22" s="4"/>
      <c r="F22" s="10" t="e">
        <f ca="1">SUMIF('MushDrink Glovo 2408 AL 3008'!F2:F211,C22,'MushDrink Glovo 2408 AL 3008'!#REF!)</f>
        <v>#REF!</v>
      </c>
      <c r="G22">
        <v>20</v>
      </c>
      <c r="H22" t="e">
        <f ca="1" t="shared" ref="H22:H33" si="1">+F22-G22</f>
        <v>#REF!</v>
      </c>
      <c r="K22" s="12" t="s">
        <v>23</v>
      </c>
      <c r="L22" s="13">
        <v>4592955</v>
      </c>
    </row>
    <row r="23" spans="2:12">
      <c r="B23" s="8">
        <v>15</v>
      </c>
      <c r="C23" s="14">
        <v>4592956</v>
      </c>
      <c r="D23" s="15" t="s">
        <v>24</v>
      </c>
      <c r="E23" s="4"/>
      <c r="F23" s="10" t="e">
        <f ca="1">SUMIF('MushDrink Glovo 2408 AL 3008'!F2:F211,C23,'MushDrink Glovo 2408 AL 3008'!#REF!)</f>
        <v>#REF!</v>
      </c>
      <c r="G23" s="15">
        <v>20</v>
      </c>
      <c r="H23" t="e">
        <f ca="1" t="shared" si="1"/>
        <v>#REF!</v>
      </c>
      <c r="K23" s="6" t="s">
        <v>24</v>
      </c>
      <c r="L23" s="7">
        <v>4592956</v>
      </c>
    </row>
    <row r="24" spans="2:12">
      <c r="B24" s="8">
        <v>16</v>
      </c>
      <c r="C24" s="16">
        <v>4592958</v>
      </c>
      <c r="D24" s="17" t="s">
        <v>25</v>
      </c>
      <c r="E24" s="4"/>
      <c r="F24" s="10" t="e">
        <f ca="1">SUMIF('MushDrink Glovo 2408 AL 3008'!F2:F211,C24,'MushDrink Glovo 2408 AL 3008'!#REF!)</f>
        <v>#REF!</v>
      </c>
      <c r="G24">
        <v>20</v>
      </c>
      <c r="H24" t="e">
        <f ca="1" t="shared" si="1"/>
        <v>#REF!</v>
      </c>
      <c r="K24" s="18" t="s">
        <v>25</v>
      </c>
      <c r="L24" s="13">
        <v>4592958</v>
      </c>
    </row>
    <row r="25" spans="2:12">
      <c r="B25" s="8">
        <v>17</v>
      </c>
      <c r="C25" s="14">
        <v>4594875</v>
      </c>
      <c r="D25" s="19" t="s">
        <v>26</v>
      </c>
      <c r="E25" s="4"/>
      <c r="F25" s="10" t="e">
        <f ca="1">SUMIF('MushDrink Glovo 2408 AL 3008'!F2:F211,C25,'MushDrink Glovo 2408 AL 3008'!#REF!)</f>
        <v>#REF!</v>
      </c>
      <c r="G25">
        <v>20</v>
      </c>
      <c r="H25" t="e">
        <f ca="1" t="shared" si="1"/>
        <v>#REF!</v>
      </c>
      <c r="K25" s="6" t="s">
        <v>26</v>
      </c>
      <c r="L25" s="7">
        <v>4594875</v>
      </c>
    </row>
    <row r="26" spans="2:12">
      <c r="B26" s="8">
        <v>18</v>
      </c>
      <c r="C26" s="14">
        <v>4594878</v>
      </c>
      <c r="D26" s="15" t="s">
        <v>27</v>
      </c>
      <c r="E26" s="4"/>
      <c r="F26" s="10" t="e">
        <f ca="1">SUMIF('MushDrink Glovo 2408 AL 3008'!F2:F211,C26,'MushDrink Glovo 2408 AL 3008'!#REF!)</f>
        <v>#REF!</v>
      </c>
      <c r="G26">
        <v>20</v>
      </c>
      <c r="H26" t="e">
        <f ca="1" t="shared" si="1"/>
        <v>#REF!</v>
      </c>
      <c r="K26" s="6" t="s">
        <v>28</v>
      </c>
      <c r="L26" s="7">
        <v>4594878</v>
      </c>
    </row>
    <row r="27" spans="2:12">
      <c r="B27" s="8">
        <v>19</v>
      </c>
      <c r="C27" s="14">
        <v>4639813</v>
      </c>
      <c r="D27" s="15" t="s">
        <v>29</v>
      </c>
      <c r="E27" s="4"/>
      <c r="F27" s="10" t="e">
        <f ca="1">SUMIF('MushDrink Glovo 2408 AL 3008'!F2:F211,C27,'MushDrink Glovo 2408 AL 3008'!#REF!)</f>
        <v>#REF!</v>
      </c>
      <c r="G27">
        <v>20</v>
      </c>
      <c r="H27" t="e">
        <f ca="1" t="shared" si="1"/>
        <v>#REF!</v>
      </c>
      <c r="K27" s="20" t="s">
        <v>29</v>
      </c>
      <c r="L27" s="14">
        <v>4639813</v>
      </c>
    </row>
    <row r="28" spans="2:12">
      <c r="B28" s="8">
        <v>20</v>
      </c>
      <c r="C28" s="14">
        <v>4639814</v>
      </c>
      <c r="D28" s="15" t="s">
        <v>30</v>
      </c>
      <c r="E28" s="4"/>
      <c r="F28" s="10" t="e">
        <f ca="1">SUMIF('MushDrink Glovo 2408 AL 3008'!F2:F211,C28,'MushDrink Glovo 2408 AL 3008'!#REF!)</f>
        <v>#REF!</v>
      </c>
      <c r="G28">
        <v>20</v>
      </c>
      <c r="H28" t="e">
        <f ca="1" t="shared" si="1"/>
        <v>#REF!</v>
      </c>
      <c r="K28" s="15" t="s">
        <v>30</v>
      </c>
      <c r="L28" s="14">
        <v>4639814</v>
      </c>
    </row>
    <row r="29" spans="2:12">
      <c r="B29" s="8">
        <v>21</v>
      </c>
      <c r="C29" s="21">
        <v>4639815</v>
      </c>
      <c r="D29" s="22" t="s">
        <v>31</v>
      </c>
      <c r="E29" s="22"/>
      <c r="F29" s="23" t="e">
        <f ca="1">SUMIF('MushDrink Glovo 2408 AL 3008'!F2:F211,C29,'MushDrink Glovo 2408 AL 3008'!#REF!)</f>
        <v>#REF!</v>
      </c>
      <c r="G29" s="24">
        <v>20</v>
      </c>
      <c r="H29" s="24" t="e">
        <f ca="1" t="shared" si="1"/>
        <v>#REF!</v>
      </c>
      <c r="K29" s="18" t="s">
        <v>31</v>
      </c>
      <c r="L29" s="14">
        <v>4639815</v>
      </c>
    </row>
    <row r="30" spans="2:12">
      <c r="B30" s="8">
        <v>22</v>
      </c>
      <c r="C30" s="16">
        <v>4655053</v>
      </c>
      <c r="D30" s="25" t="s">
        <v>32</v>
      </c>
      <c r="E30" s="4"/>
      <c r="F30" s="10" t="e">
        <f ca="1">SUMIF('MushDrink Glovo 2408 AL 3008'!F2:F211,C30,'MushDrink Glovo 2408 AL 3008'!#REF!)</f>
        <v>#REF!</v>
      </c>
      <c r="G30">
        <v>30</v>
      </c>
      <c r="H30" t="e">
        <f ca="1" t="shared" si="1"/>
        <v>#REF!</v>
      </c>
      <c r="K30" s="18" t="s">
        <v>32</v>
      </c>
      <c r="L30" s="14">
        <v>4655053</v>
      </c>
    </row>
    <row r="31" spans="2:12">
      <c r="B31" s="8">
        <v>23</v>
      </c>
      <c r="C31" s="14">
        <v>4662891</v>
      </c>
      <c r="D31" s="15" t="s">
        <v>33</v>
      </c>
      <c r="E31" s="4"/>
      <c r="F31" s="10" t="e">
        <f ca="1">SUMIF('MushDrink Glovo 2408 AL 3008'!F2:F211,C31,'MushDrink Glovo 2408 AL 3008'!#REF!)</f>
        <v>#REF!</v>
      </c>
      <c r="G31">
        <v>20</v>
      </c>
      <c r="H31" t="e">
        <f ca="1" t="shared" si="1"/>
        <v>#REF!</v>
      </c>
      <c r="K31" s="15" t="s">
        <v>33</v>
      </c>
      <c r="L31" s="14">
        <v>4662891</v>
      </c>
    </row>
    <row r="32" spans="2:12">
      <c r="B32" s="8">
        <v>24</v>
      </c>
      <c r="C32" s="21">
        <v>4687178</v>
      </c>
      <c r="D32" s="22" t="s">
        <v>34</v>
      </c>
      <c r="E32" s="22"/>
      <c r="F32" s="23" t="e">
        <f ca="1">SUMIF('MushDrink Glovo 2408 AL 3008'!F2:F211,C32,'MushDrink Glovo 2408 AL 3008'!#REF!)</f>
        <v>#REF!</v>
      </c>
      <c r="G32" s="24">
        <v>20</v>
      </c>
      <c r="H32" s="24" t="e">
        <f ca="1" t="shared" si="1"/>
        <v>#REF!</v>
      </c>
      <c r="K32" s="18" t="s">
        <v>34</v>
      </c>
      <c r="L32" s="14">
        <v>4687178</v>
      </c>
    </row>
    <row r="33" ht="15.15" spans="2:12">
      <c r="B33" s="26">
        <v>25</v>
      </c>
      <c r="C33" s="21">
        <v>4690296</v>
      </c>
      <c r="D33" s="22" t="s">
        <v>35</v>
      </c>
      <c r="E33" s="22"/>
      <c r="F33" s="27" t="e">
        <f ca="1">SUMIF('MushDrink Glovo 2408 AL 3008'!F2:F211,C33,'MushDrink Glovo 2408 AL 3008'!#REF!)</f>
        <v>#REF!</v>
      </c>
      <c r="G33" s="24">
        <v>30</v>
      </c>
      <c r="H33" s="24" t="e">
        <f ca="1" t="shared" si="1"/>
        <v>#REF!</v>
      </c>
      <c r="K33" s="18" t="s">
        <v>35</v>
      </c>
      <c r="L33" s="14">
        <v>4690296</v>
      </c>
    </row>
    <row r="34" spans="2:12">
      <c r="C34" s="4"/>
      <c r="D34" s="4"/>
      <c r="E34" s="4"/>
      <c r="F34" s="28" t="e">
        <f ca="1">SUM(F9:F33)</f>
        <v>#REF!</v>
      </c>
      <c r="H34" t="e">
        <f ca="1">SUM(H21:H33)</f>
        <v>#REF!</v>
      </c>
      <c r="K34" t="s">
        <v>35</v>
      </c>
    </row>
    <row r="35" spans="2:12">
      <c r="K35" t="s">
        <v>32</v>
      </c>
    </row>
    <row r="36" spans="2:12">
      <c r="K36" t="s">
        <v>31</v>
      </c>
    </row>
    <row r="37" spans="2:12">
      <c r="K37" t="s">
        <v>25</v>
      </c>
    </row>
    <row r="38" spans="2:12">
      <c r="K38" t="s">
        <v>34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MushDrink Glovo 2408 AL 3008</vt:lpstr>
      <vt:lpstr>HORAS TOTALES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Francisco Jose Rossell Espinosa</cp:lastModifiedBy>
  <dcterms:created xsi:type="dcterms:W3CDTF">2026-03-09T02:36:00Z</dcterms:created>
  <dcterms:modified xsi:type="dcterms:W3CDTF">2026-08-23T22:51:55Z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94E585DBDB8B4FE8AFCAF45106B8C3DF_13</vt:lpwstr>
  </property>
  <property fmtid="{D5CDD505-2E9C-101B-9397-08002B2CF9AE}" pid="3" name="KSOProductBuildVer">
    <vt:lpwstr>3082-12.1.0.28032</vt:lpwstr>
  </property>
  <property fmtid="{D5CDD505-2E9C-101B-9397-08002B2CF9AE}" pid="4" name="CalculationRule">
    <vt:i4>0</vt:i4>
  </property>
</Properties>
</file>